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Assumptions" sheetId="2" state="visible" r:id="rId4"/>
    <sheet name="Monthly Model" sheetId="3" state="visible" r:id="rId5"/>
    <sheet name="Annual Summary" sheetId="4" state="visible" r:id="rId6"/>
    <sheet name="Series A 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<sst xmlns="http://schemas.openxmlformats.org/spreadsheetml/2006/main" count="310" uniqueCount="280">
  <si>
    <t xml:space="preserve">PredSea — Bottom-Up Growth &amp; Series A Readiness Model</t>
  </si>
  <si>
    <t xml:space="preserve">How to use this workbook</t>
  </si>
  <si>
    <t xml:space="preserve">1. Every BLUE cell is an input you control. Every BLACK cell is a formula — do not overwrite it.</t>
  </si>
  <si>
    <t xml:space="preserve">2. Start with the 'Assumptions' tab. The most important cells are highlighted YELLOW — these are</t>
  </si>
  <si>
    <t xml:space="preserve">   currently placeholders and materially change the output. Replace them with real sourced numbers</t>
  </si>
  <si>
    <t xml:space="preserve">   (port authority / charter association vessel counts, actual pilot churn once you have more weeks of data).</t>
  </si>
  <si>
    <t xml:space="preserve">3. 'Monthly Model' builds a 48-month (Year 1-4) cohort model: new logos, churn, seasonality, MRR, cash burn.</t>
  </si>
  <si>
    <t xml:space="preserve">   It is capped by the addressable-vessel ceiling in Assumptions, so it cannot grow past what is countable.</t>
  </si>
  <si>
    <t xml:space="preserve">4. 'Annual Summary' rolls the monthly model into the Year 1/2/3/4 view for your pitch deck and business plan.</t>
  </si>
  <si>
    <t xml:space="preserve">5. 'Series A Dashboard' translates your monthly numbers into the specific metrics investors check before</t>
  </si>
  <si>
    <t xml:space="preserve">   funding a Series A, with pass/fail thresholds you can adjust. Use this to know, month by month, how close</t>
  </si>
  <si>
    <t xml:space="preserve">   you actually are — rather than assuming a fixed 12-month calendar date.</t>
  </si>
  <si>
    <t xml:space="preserve">6. Nothing in this model is a guarantee of performance. Treat every output as a scenario, not a promise.</t>
  </si>
  <si>
    <t xml:space="preserve">Sources still needed (see Assumptions tab, yellow cells):</t>
  </si>
  <si>
    <t xml:space="preserve">- Balearic professional/charter vessel count (port authorities, ANEN, charter associations, harbor master data)</t>
  </si>
  <si>
    <t xml:space="preserve">- Mainland Spain / Italy / France / Monaco equivalent counts for the expansion ceiling</t>
  </si>
  <si>
    <t xml:space="preserve">- Actual pilot activation, weekly-active-use and churn rate once the cohort has run a full season</t>
  </si>
  <si>
    <t xml:space="preserve">- Real CAC from the pilot (marketing/BD time cost per onboarded captain, even if currently near-zero)</t>
  </si>
  <si>
    <t xml:space="preserve">- Real founder-draw ramp timing (when bootstrap ends and full €65K/year draw begins) — currently a placeholder tied to Series A phase milestones.</t>
  </si>
  <si>
    <t xml:space="preserve">Assumptions — edit the BLUE cells</t>
  </si>
  <si>
    <t xml:space="preserve">Assumption</t>
  </si>
  <si>
    <t xml:space="preserve">Value</t>
  </si>
  <si>
    <t xml:space="preserve">Notes / source needed</t>
  </si>
  <si>
    <t xml:space="preserve">MARKET SIZING (addressable vessel ceilings)</t>
  </si>
  <si>
    <t xml:space="preserve">Addressable vessels — Balearics (Year 1 ceiling)</t>
  </si>
  <si>
    <t xml:space="preserve">PLACEHOLDER — replace with port authority / ANEN / charter association count</t>
  </si>
  <si>
    <t xml:space="preserve">Addressable vessels — + mainland Spain &amp; Italy (Year 2 ceiling)</t>
  </si>
  <si>
    <t xml:space="preserve">PLACEHOLDER — sum of Y1 + additional country counts</t>
  </si>
  <si>
    <t xml:space="preserve">Addressable vessels — + France &amp; Monaco (Year 3 ceiling)</t>
  </si>
  <si>
    <t xml:space="preserve">PLACEHOLDER — sum of Y2 + additional country counts</t>
  </si>
  <si>
    <t xml:space="preserve">Addressable vessels — wider West Med + adjacent segments (Year 4 ceiling)</t>
  </si>
  <si>
    <t xml:space="preserve">PLACEHOLDER — long-term SAM approach</t>
  </si>
  <si>
    <t xml:space="preserve">PRICING &amp; MIX</t>
  </si>
  <si>
    <t xml:space="preserve">Premium Route price (EUR / vessel / month)</t>
  </si>
  <si>
    <t xml:space="preserve">From business plan Section 6.1</t>
  </si>
  <si>
    <t xml:space="preserve">Corporate / Fleet blended price (EUR / vessel / month)</t>
  </si>
  <si>
    <t xml:space="preserve">UPDATED — 20% volume discount off Premium (49 x 0.8 = 39.2), per founder guidance on typical fleet-deal discounting. Refine with first real fleet deal.</t>
  </si>
  <si>
    <t xml:space="preserve">% of vessels on Corporate/Fleet pricing (blend, by Year 3)</t>
  </si>
  <si>
    <t xml:space="preserve">Placeholder — refine as fleet deals close</t>
  </si>
  <si>
    <t xml:space="preserve">GROWTH &amp; CHURN (monthly rates by phase)</t>
  </si>
  <si>
    <t xml:space="preserve">Monthly logo growth rate — Months 1-6 (pilot→seed)</t>
  </si>
  <si>
    <t xml:space="preserve">Small base, so % growth is naturally high — sanity-check against absolute adds in Monthly Model</t>
  </si>
  <si>
    <t xml:space="preserve">Monthly logo growth rate — Months 7-18 (scale/Series A)</t>
  </si>
  <si>
    <t xml:space="preserve">Placeholder — benchmark against realized pilot conversion once available</t>
  </si>
  <si>
    <t xml:space="preserve">Monthly logo growth rate — Months 19-36</t>
  </si>
  <si>
    <t xml:space="preserve">Placeholder — growth naturally decelerates as ceiling approaches</t>
  </si>
  <si>
    <t xml:space="preserve">Monthly logo growth rate — Months 37-48</t>
  </si>
  <si>
    <t xml:space="preserve">Placeholder</t>
  </si>
  <si>
    <t xml:space="preserve">Monthly logo churn rate (of active base)</t>
  </si>
  <si>
    <t xml:space="preserve">Placeholder — replace with real pilot churn after a full season</t>
  </si>
  <si>
    <t xml:space="preserve">SEASONALITY (% of logo base actively paying, by calendar month)</t>
  </si>
  <si>
    <t xml:space="preserve">Seasonal active % — Jan</t>
  </si>
  <si>
    <t xml:space="preserve">Placeholder — refine once pilot shows real off-season pause/renewal behavior</t>
  </si>
  <si>
    <t xml:space="preserve">Seasonal active % — Feb</t>
  </si>
  <si>
    <t xml:space="preserve">Seasonal active % — Mar</t>
  </si>
  <si>
    <t xml:space="preserve">Seasonal active % — Apr</t>
  </si>
  <si>
    <t xml:space="preserve">Seasonal active % — May</t>
  </si>
  <si>
    <t xml:space="preserve">Seasonal active % — Jun</t>
  </si>
  <si>
    <t xml:space="preserve">Seasonal active % — Jul</t>
  </si>
  <si>
    <t xml:space="preserve">Seasonal active % — Aug</t>
  </si>
  <si>
    <t xml:space="preserve">Seasonal active % — Sep</t>
  </si>
  <si>
    <t xml:space="preserve">Seasonal active % — Oct</t>
  </si>
  <si>
    <t xml:space="preserve">Seasonal active % — Nov</t>
  </si>
  <si>
    <t xml:space="preserve">Seasonal active % — Dec</t>
  </si>
  <si>
    <t xml:space="preserve">UNIT ECONOMICS</t>
  </si>
  <si>
    <t xml:space="preserve">Gross margin %</t>
  </si>
  <si>
    <t xml:space="preserve">From business plan Section 13.2</t>
  </si>
  <si>
    <t xml:space="preserve">CAC per vessel (EUR)</t>
  </si>
  <si>
    <t xml:space="preserve">PLACEHOLDER — replace with real pilot BD/marketing cost per onboarded captain</t>
  </si>
  <si>
    <t xml:space="preserve">Average customer lifetime (months, before churn)</t>
  </si>
  <si>
    <t xml:space="preserve">Cross-check: 1/monthly churn rate — see Series A Dashboard</t>
  </si>
  <si>
    <t xml:space="preserve">COSTS (annual operating burn, EUR)</t>
  </si>
  <si>
    <t xml:space="preserve">Year 1 annual burn — personnel, marketing &amp; other (excl. cloud infra &amp; AI tokens, modeled separately below)</t>
  </si>
  <si>
    <t xml:space="preserve">Now a formula: (founder cost x headcount + marketing budget) x (1 + contingency). All 4 years share the same baseline on purpose — team growth (sales hire, optional Caribbean hire) shows up as its own explicit, separate line in Monthly Model instead of being buried inside an escalating lump sum. Override any single year manually if you want it to diverge.</t>
  </si>
  <si>
    <t xml:space="preserve">Year 2 annual burn — personnel, marketing &amp; other (excl. cloud infra &amp; AI tokens)</t>
  </si>
  <si>
    <t xml:space="preserve">Year 3 annual burn — personnel, marketing &amp; other (excl. cloud infra &amp; AI tokens)</t>
  </si>
  <si>
    <t xml:space="preserve">Year 4 annual burn — personnel, marketing &amp; other (excl. cloud infra &amp; AI tokens)</t>
  </si>
  <si>
    <t xml:space="preserve">SEED START POINT (pilot actuals — update monthly)</t>
  </si>
  <si>
    <t xml:space="preserve">Cumulative logos at Month 0 (today)</t>
  </si>
  <si>
    <t xml:space="preserve">Actual pilot count — update as it changes</t>
  </si>
  <si>
    <t xml:space="preserve">CARIBBEAN EXPANSION (counter-seasonal — added per founder discussion)</t>
  </si>
  <si>
    <t xml:space="preserve">Caribbean launch month (Med-calendar month #, target)</t>
  </si>
  <si>
    <t xml:space="preserve">Target ~12 months from raise close. Contingent on validation (Section 4) and Series A timing — adjust as real dates firm up.</t>
  </si>
  <si>
    <t xml:space="preserve">Addressable vessels — Caribbean (ceiling from launch)</t>
  </si>
  <si>
    <t xml:space="preserve">PLACEHOLDER — source from BVI/USVI/Grenadines/Bahamas charter association &amp; marina counts</t>
  </si>
  <si>
    <t xml:space="preserve">Caribbean incremental monthly compute/infra opex from launch (EUR/month)</t>
  </si>
  <si>
    <t xml:space="preserve">UPDATED — now grounded in the real Western Med per-region cost (B68 = €50/month) rather than an earlier invented €12,500/month guess. Assumes a second region costs about the same to run once built; revisit once real Caribbean usage data exists.</t>
  </si>
  <si>
    <t xml:space="preserve">One-off Caribbean domain setup cost (EUR, incurred at launch month)</t>
  </si>
  <si>
    <t xml:space="preserve">PLACEHOLDER — bathymetry acquisition/processing, grid build, initial validation run compute, local data-partnership setup (SOCIB-equivalent).</t>
  </si>
  <si>
    <t xml:space="preserve">Caribbean monthly logo churn rate (of active base)</t>
  </si>
  <si>
    <t xml:space="preserve">PLACEHOLDER — reuses Med churn assumption; replace once real Caribbean data exists.</t>
  </si>
  <si>
    <t xml:space="preserve">CARIBBEAN SEASONALITY (% of Caribbean logo base actively paying, by calendar month)</t>
  </si>
  <si>
    <t xml:space="preserve">Seasonal active % — Caribbean — Jan</t>
  </si>
  <si>
    <t xml:space="preserve">PLACEHOLDER — illustrative counter-seasonal curve (Caribbean high season ~Dec-Apr, hurricane-season dip Jun-Nov). Replace with real charter-calendar data before relying on this for the seasonality argument.</t>
  </si>
  <si>
    <t xml:space="preserve">Seasonal active % — Caribbean — Feb</t>
  </si>
  <si>
    <t xml:space="preserve">Seasonal active % — Caribbean — Mar</t>
  </si>
  <si>
    <t xml:space="preserve">Seasonal active % — Caribbean — Apr</t>
  </si>
  <si>
    <t xml:space="preserve">Seasonal active % — Caribbean — May</t>
  </si>
  <si>
    <t xml:space="preserve">Seasonal active % — Caribbean — Jun</t>
  </si>
  <si>
    <t xml:space="preserve">Seasonal active % — Caribbean — Jul</t>
  </si>
  <si>
    <t xml:space="preserve">Seasonal active % — Caribbean — Aug</t>
  </si>
  <si>
    <t xml:space="preserve">Seasonal active % — Caribbean — Sep</t>
  </si>
  <si>
    <t xml:space="preserve">Seasonal active % — Caribbean — Oct</t>
  </si>
  <si>
    <t xml:space="preserve">Seasonal active % — Caribbean — Nov</t>
  </si>
  <si>
    <t xml:space="preserve">Seasonal active % — Caribbean — Dec</t>
  </si>
  <si>
    <t xml:space="preserve">Caribbean seed logos at launch (first signed captains/vessels)</t>
  </si>
  <si>
    <t xml:space="preserve">PLACEHOLDER — mirrors the Med model's actual 2-vessel pilot start; replace with the real first-Caribbean-cohort count once known.</t>
  </si>
  <si>
    <t xml:space="preserve">REAL COST DATA — CLOUD COMPUTE &amp; AI TOKENS (from Charles's GCP billing export, July 2026)</t>
  </si>
  <si>
    <t xml:space="preserve">Cloud compute cost per active region (EUR/month)</t>
  </si>
  <si>
    <t xml:space="preserve">REAL — current Western Med cost at 1km resolution / 5-day forecast (Compute Engine, Storage, Cloud Run, Cloud Build, Artifact Registry, BigQuery, Networking combined). Assumed to apply per additional region once built (Caribbean, etc.) — refine once a second region is live.</t>
  </si>
  <si>
    <t xml:space="preserve">AI token (Gemini/Vertex AI) cost today — gross, mostly build/dev usage (EUR/month)</t>
  </si>
  <si>
    <t xml:space="preserve">REAL — Vertex AI line from GCP billing export (~€286, rounded). Currently ~94% of all cloud spend; expected to fall as the hi-res system matures and less is spent on build/iteration. Note: currently covered by Google for Startups credits — this is gross cost, not what's actually billed today.</t>
  </si>
  <si>
    <t xml:space="preserve">AI token cost decay half-life as system matures (months)</t>
  </si>
  <si>
    <t xml:space="preserve">PLACEHOLDER — assumed rate at which build/dev-driven token usage shrinks. Refine once 2-3+ months of real monthly token trend exist.</t>
  </si>
  <si>
    <t xml:space="preserve">AI token steady-state floor — ongoing dev/maintenance usage (EUR/month)</t>
  </si>
  <si>
    <t xml:space="preserve">PLACEHOLDER — token spend won't hit zero; some ongoing feature work continues indefinitely.</t>
  </si>
  <si>
    <t xml:space="preserve">AI token serving cost per active paying vessel (EUR/vessel/month)</t>
  </si>
  <si>
    <t xml:space="preserve">REVISED using real Google Cloud Gemini/Vertex AI pricing (fetched cloud.google.com/vertex-ai/generative-ai/pricing): ~60 WhatsApp queries/month/vessel x ~4,000 input + 400 output tokens each. On Gemini Flash-Lite that's ~€0.09/vessel/month; on Flash it's ~€0.18; on Gemini Pro it's ~€0.70. €0.35 is a mid-range estimate — refine once you know which model tier serves production traffic and have real per-conversation token counts.</t>
  </si>
  <si>
    <t xml:space="preserve">TEAM &amp; HIRING PLAN</t>
  </si>
  <si>
    <t xml:space="preserve">Current headcount (Ocean/Weather/AI, Conversational AI, Captain/Advisor, Product)</t>
  </si>
  <si>
    <t xml:space="preserve">Informational — the four founders, one per functional area. No dedicated sales/BD role yet.</t>
  </si>
  <si>
    <t xml:space="preserve">Add a Sales/BD hire? (1 = yes, 0 = no)</t>
  </si>
  <si>
    <t xml:space="preserve">PLACEHOLDER toggle — set to 0 to model staying at 4 founders with no dedicated sales hire.</t>
  </si>
  <si>
    <t xml:space="preserve">Sales/BD hire trigger month (Med-calendar month #)</t>
  </si>
  <si>
    <t xml:space="preserve">PLACEHOLDER — default aligns with Series A / Caribbean-launch timing (month 13), when boat-show pipeline and multi-region BD load likely exceed what 4 generalist founders can cover.</t>
  </si>
  <si>
    <t xml:space="preserve">Sales/BD hire annual loaded cost (EUR/year)</t>
  </si>
  <si>
    <t xml:space="preserve">PLACEHOLDER — junior/mid B2B SaaS sales-BD hire, Spain-based, loaded cost (salary + employer costs). Refine against real market rate.</t>
  </si>
  <si>
    <t xml:space="preserve">FOUNDER &amp; MARKETING BASELINE (bottom-up — replaces the old flat burn placeholders above)</t>
  </si>
  <si>
    <t xml:space="preserve">Founder loaded cost each (EUR/year)</t>
  </si>
  <si>
    <t xml:space="preserve">REAL, but a TARGET not a fixed floor — founders confirmed €65,000/year each is the ideal once the business supports it. Founders are open to €0 personal draw at the outset (see Founder Draw Ramp below).</t>
  </si>
  <si>
    <t xml:space="preserve">Marketing &amp; boat-show budget (EUR/year)</t>
  </si>
  <si>
    <t xml:space="preserve">PLACEHOLDER — 5 boat shows (Monaco, Barcelona, Netherlands, Genoa, Fort Lauderdale) plus travel/booth costs and lead-gen. Refine with real quotes.</t>
  </si>
  <si>
    <t xml:space="preserve">Contingency / working-capital buffer (% of founder + marketing costs)</t>
  </si>
  <si>
    <t xml:space="preserve">PLACEHOLDER — operational runway buffer per Business Plan Section 13.3.</t>
  </si>
  <si>
    <t xml:space="preserve">OPTIONAL: CARIBBEAN REGIONAL HIRE (explore-only, defaulted off)</t>
  </si>
  <si>
    <t xml:space="preserve">Add a Caribbean regional ops/BD hire at Caribbean launch? (1 = yes, 0 = no)</t>
  </si>
  <si>
    <t xml:space="preserve">PLACEHOLDER toggle, defaulted OFF — set to 1 to explore adding a local Caribbean hire alongside the regional launch instead of running it remotely from the Balearics.</t>
  </si>
  <si>
    <t xml:space="preserve">Caribbean regional hire annual loaded cost (EUR/year)</t>
  </si>
  <si>
    <t xml:space="preserve">PLACEHOLDER — local ops/BD hire, assumed lower loaded cost than a Spain-based hire.</t>
  </si>
  <si>
    <t xml:space="preserve">FOUNDER DRAW RAMP (bootstrap flexibility — added per founder discussion)</t>
  </si>
  <si>
    <t xml:space="preserve">Founder draw — % of ideal during bootstrap phase (months 1 to ramp-start)</t>
  </si>
  <si>
    <t xml:space="preserve">REAL — founders are open to €0 personal draw at the outset; B81's €65K/year is the ideal target once revenue supports it, not a minimum owed from month 1.</t>
  </si>
  <si>
    <t xml:space="preserve">Founder draw ramp — start month (Med-calendar month #)</t>
  </si>
  <si>
    <t xml:space="preserve">PLACEHOLDER — assumed ramp begins at the start of the Scale/Series A phase (month 7). Adjust to match real revenue/fundraising timing.</t>
  </si>
  <si>
    <t xml:space="preserve">Founder draw ramp — month full ideal draw is reached</t>
  </si>
  <si>
    <t xml:space="preserve">PLACEHOLDER — assumed founders reach the full €65K/year ideal draw by the start of the Post-Series A phase (month 19). Linear ramp between start and this month. Adjust as real timing firms up.</t>
  </si>
  <si>
    <t xml:space="preserve">Month #</t>
  </si>
  <si>
    <t xml:space="preserve">Calendar Month</t>
  </si>
  <si>
    <t xml:space="preserve">Year</t>
  </si>
  <si>
    <t xml:space="preserve">Growth Phase</t>
  </si>
  <si>
    <t xml:space="preserve">SOM Ceiling</t>
  </si>
  <si>
    <t xml:space="preserve">Monthly Growth Rate</t>
  </si>
  <si>
    <t xml:space="preserve">Gross New Logos</t>
  </si>
  <si>
    <t xml:space="preserve">Churned Logos</t>
  </si>
  <si>
    <t xml:space="preserve">Cumulative Logos</t>
  </si>
  <si>
    <t xml:space="preserve">Seasonal Active %</t>
  </si>
  <si>
    <t xml:space="preserve">Effective Paying Vessels</t>
  </si>
  <si>
    <t xml:space="preserve">Blended Price (EUR)</t>
  </si>
  <si>
    <t xml:space="preserve">MRR (EUR)</t>
  </si>
  <si>
    <t xml:space="preserve">Monthly Opex (EUR)</t>
  </si>
  <si>
    <t xml:space="preserve">Gross Profit (EUR)</t>
  </si>
  <si>
    <t xml:space="preserve">Net Cash Flow (EUR)</t>
  </si>
  <si>
    <t xml:space="preserve">Months Since Caribbean Launch</t>
  </si>
  <si>
    <t xml:space="preserve">Caribbean Growth Phase</t>
  </si>
  <si>
    <t xml:space="preserve">Caribbean SOM Ceiling</t>
  </si>
  <si>
    <t xml:space="preserve">Caribbean Monthly Growth Rate</t>
  </si>
  <si>
    <t xml:space="preserve">Caribbean Gross New Logos</t>
  </si>
  <si>
    <t xml:space="preserve">Caribbean Churned Logos</t>
  </si>
  <si>
    <t xml:space="preserve">Caribbean Cumulative Logos</t>
  </si>
  <si>
    <t xml:space="preserve">Caribbean Seasonal Active %</t>
  </si>
  <si>
    <t xml:space="preserve">Caribbean Effective Paying Vessels</t>
  </si>
  <si>
    <t xml:space="preserve">Caribbean Blended Price (EUR)</t>
  </si>
  <si>
    <t xml:space="preserve">Caribbean MRR (EUR)</t>
  </si>
  <si>
    <t xml:space="preserve">Caribbean Incremental Opex (EUR)</t>
  </si>
  <si>
    <t xml:space="preserve">Caribbean Gross Profit (EUR)</t>
  </si>
  <si>
    <t xml:space="preserve">Total Cumulative Logos (Med + Caribbean)</t>
  </si>
  <si>
    <t xml:space="preserve">Total MRR (EUR)</t>
  </si>
  <si>
    <t xml:space="preserve">Total Opex (EUR)</t>
  </si>
  <si>
    <t xml:space="preserve">Total Gross Profit (EUR)</t>
  </si>
  <si>
    <t xml:space="preserve">Total Net Cash Flow (EUR)</t>
  </si>
  <si>
    <t xml:space="preserve">Total Cumulative Logos MoM growth %</t>
  </si>
  <si>
    <t xml:space="preserve">AI Token Cost — Company-wide (EUR)</t>
  </si>
  <si>
    <t xml:space="preserve">Sales/BD Hire Incremental Opex (EUR)</t>
  </si>
  <si>
    <t xml:space="preserve">Caribbean Regional Hire Opex (EUR)</t>
  </si>
  <si>
    <t xml:space="preserve">Aug 2026</t>
  </si>
  <si>
    <t xml:space="preserve">Sep 2026</t>
  </si>
  <si>
    <t xml:space="preserve">Oct 2026</t>
  </si>
  <si>
    <t xml:space="preserve">Nov 2026</t>
  </si>
  <si>
    <t xml:space="preserve">Dec 2026</t>
  </si>
  <si>
    <t xml:space="preserve">Jan 2027</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</si>
  <si>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</si>
  <si>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</si>
  <si>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</si>
  <si>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</si>
  <si>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</si>
  <si>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</si>
  <si>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</si>
  <si>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</si>
  <si>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Oct 2027</t>
  </si>
  <si>
    <t xml:space="preserve">Nov 2027</t>
  </si>
  <si>
    <t xml:space="preserve">Dec 2027</t>
  </si>
  <si>
    <t xml:space="preserve">Jan 2028</t>
  </si>
  <si>
    <t xml:space="preserve">Feb 2028</t>
  </si>
  <si>
    <t xml:space="preserve">Mar 2028</t>
  </si>
  <si>
    <t xml:space="preserve">Apr 2028</t>
  </si>
  <si>
    <t xml:space="preserve">May 2028</t>
  </si>
  <si>
    <t xml:space="preserve">Jun 2028</t>
  </si>
  <si>
    <t xml:space="preserve">Jul 2028</t>
  </si>
  <si>
    <t xml:space="preserve">Aug 2028</t>
  </si>
  <si>
    <t xml:space="preserve">Sep 2028</t>
  </si>
  <si>
    <t xml:space="preserve">Oct 2028</t>
  </si>
  <si>
    <t xml:space="preserve">Nov 2028</t>
  </si>
  <si>
    <t xml:space="preserve">Dec 2028</t>
  </si>
  <si>
    <t xml:space="preserve">Jan 2029</t>
  </si>
  <si>
    <t xml:space="preserve">Feb 2029</t>
  </si>
  <si>
    <t xml:space="preserve">Mar 2029</t>
  </si>
  <si>
    <t xml:space="preserve">Apr 2029</t>
  </si>
  <si>
    <t xml:space="preserve">May 2029</t>
  </si>
  <si>
    <t xml:space="preserve">Jun 2029</t>
  </si>
  <si>
    <t xml:space="preserve">Jul 2029</t>
  </si>
  <si>
    <t xml:space="preserve">Aug 2029</t>
  </si>
  <si>
    <t xml:space="preserve">Sep 2029</t>
  </si>
  <si>
    <t xml:space="preserve">Oct 2029</t>
  </si>
  <si>
    <t xml:space="preserve">Nov 2029</t>
  </si>
  <si>
    <t xml:space="preserve">Dec 2029</t>
  </si>
  <si>
    <t xml:space="preserve">Jan 2030</t>
  </si>
  <si>
    <t xml:space="preserve">Feb 2030</t>
  </si>
  <si>
    <t xml:space="preserve">Mar 2030</t>
  </si>
  <si>
    <t xml:space="preserve">Apr 2030</t>
  </si>
  <si>
    <t xml:space="preserve">May 2030</t>
  </si>
  <si>
    <t xml:space="preserve">Jun 2030</t>
  </si>
  <si>
    <t xml:space="preserve">Jul 2030</t>
  </si>
  <si>
    <t xml:space="preserve">Annual Summary (rolled up from Monthly Model)</t>
  </si>
  <si>
    <t xml:space="preserve">Metric</t>
  </si>
  <si>
    <t xml:space="preserve">Year 1</t>
  </si>
  <si>
    <t xml:space="preserve">Year 2</t>
  </si>
  <si>
    <t xml:space="preserve">Year 3</t>
  </si>
  <si>
    <t xml:space="preserve">Year 4</t>
  </si>
  <si>
    <t xml:space="preserve">Logos at year-end (Dec)</t>
  </si>
  <si>
    <t xml:space="preserve">Average monthly logos (year)</t>
  </si>
  <si>
    <t xml:space="preserve">December MRR (run-rate month)</t>
  </si>
  <si>
    <t xml:space="preserve">ARR (Dec MRR x 12 — run-rate)</t>
  </si>
  <si>
    <t xml:space="preserve">Average annual revenue (sum of monthly MRR)</t>
  </si>
  <si>
    <t xml:space="preserve">Annual opex (burn)</t>
  </si>
  <si>
    <t xml:space="preserve">Annual gross profit</t>
  </si>
  <si>
    <t xml:space="preserve">Net cash flow (annual)</t>
  </si>
  <si>
    <t xml:space="preserve">Burn multiple (opex / avg annual revenue)</t>
  </si>
  <si>
    <t xml:space="preserve">— of which: Caribbean logos (year-end)</t>
  </si>
  <si>
    <t xml:space="preserve">— of which: Caribbean MRR (Dec, run-rate month, EUR)</t>
  </si>
  <si>
    <t xml:space="preserve">ARR run-rate = December's monthly recurring revenue annualized (Med + Caribbean combined). Because of seasonality, this is materially lower than a summer-month run-rate — use the average annual revenue line for realistic ARR claims.</t>
  </si>
  <si>
    <t xml:space="preserve">Caribbean figures assume a launch at the month set in Assumptions (Caribbean launch month) and are built on placeholder ceiling/opex/seasonality inputs — replace with sourced data before quoting externally.</t>
  </si>
  <si>
    <t xml:space="preserve">— of which: AI token cost (annual, EUR)</t>
  </si>
  <si>
    <t xml:space="preserve">— of which: Sales/BD hire cost (annual, EUR)</t>
  </si>
  <si>
    <t xml:space="preserve">— of which: Caribbean regional hire cost (annual, EUR)</t>
  </si>
  <si>
    <t xml:space="preserve">AI token cost now splits into a declining build/dev component (half-life in Assumptions) and a growing per-vessel serving component — so it shrinks as the system matures but never hits zero, and rises again as the customer base grows. Cloud compute assumes €50/month per active region (real Western Med figure), not a placeholder.</t>
  </si>
  <si>
    <t xml:space="preserve">Series A Readiness — checked at Month 12 (edit target month below)</t>
  </si>
  <si>
    <t xml:space="preserve">Target month to evaluate (1-48)</t>
  </si>
  <si>
    <t xml:space="preserve">Actual (model)</t>
  </si>
  <si>
    <t xml:space="preserve">Threshold</t>
  </si>
  <si>
    <t xml:space="preserve">Status / notes</t>
  </si>
  <si>
    <t xml:space="preserve">Cumulative logos (Med + Caribbean)</t>
  </si>
  <si>
    <t xml:space="preserve">MRR at target month (EUR, Med + Caribbean)</t>
  </si>
  <si>
    <t xml:space="preserve">Annualized run-rate (MRR x 12, EUR)</t>
  </si>
  <si>
    <t xml:space="preserve">Trailing-3-month average MoM TOTAL logo growth %</t>
  </si>
  <si>
    <t xml:space="preserve">Monthly logo churn %</t>
  </si>
  <si>
    <t xml:space="preserve">Blended monthly price (EUR)</t>
  </si>
  <si>
    <t xml:space="preserve">n/a</t>
  </si>
  <si>
    <t xml:space="preserve">Reference only — feeds LTV calc below</t>
  </si>
  <si>
    <t xml:space="preserve">Customer lifetime (months) = 1/churn</t>
  </si>
  <si>
    <t xml:space="preserve">Cross-check against Assumptions tab lifetime input</t>
  </si>
  <si>
    <t xml:space="preserve">LTV per vessel (EUR) = price x gross margin x lifetime</t>
  </si>
  <si>
    <t xml:space="preserve">Replace with real pilot BD/marketing cost per logo</t>
  </si>
  <si>
    <t xml:space="preserve">LTV : CAC ratio</t>
  </si>
  <si>
    <t xml:space="preserve">CAC payback period (months)</t>
  </si>
  <si>
    <t xml:space="preserve">Threshold cells (yellow) are common vertical-SaaS seed-to-Series-A benchmarks, not universal rules — adjust to</t>
  </si>
  <si>
    <t xml:space="preserve">match feedback from the specific investors you talk to. Typical current-market ranges: €10-30k+ MRR with clear</t>
  </si>
  <si>
    <t xml:space="preserve">month-over-month growth, LTV:CAC of 3x or higher, CAC payback under ~12 months, and net logo retention above 90%.</t>
  </si>
  <si>
    <t xml:space="preserve">Seed-to-Series-A timing has widened across the market in recent years (often 18-24 months) — treat a 12-month</t>
  </si>
  <si>
    <t xml:space="preserve">target as an ambitious, metrics-triggered goal, not a fixed calendar promise to investors.</t>
  </si>
  <si>
    <t xml:space="preserve">From month 13 onward (Caribbean launch target), the logo/MRR/growth figures above are Med + Caribbean combined — see Annual Summary rows 13-14 for the Caribbean-only breakdown.</t>
  </si>
</sst>
</file>

<file path=xl/styles.xml><?xml version="1.0" encoding="utf-8"?>
<styleSheet xmlns="http://schemas.openxmlformats.org/spreadsheetml/2006/main">
  <numFmts count="9">
    <numFmt numFmtId="164" formatCode="General"/>
    <numFmt numFmtId="165" formatCode="#,##0"/>
    <numFmt numFmtId="166" formatCode="#,##0.00&quot; €&quot;"/>
    <numFmt numFmtId="167" formatCode="0.0%"/>
    <numFmt numFmtId="168" formatCode="0"/>
    <numFmt numFmtId="169" formatCode="#,##0&quot; €&quot;"/>
    <numFmt numFmtId="170" formatCode="#,##0.0"/>
    <numFmt numFmtId="171" formatCode="0.00\x"/>
    <numFmt numFmtId="172" formatCode="0.0"/>
  </numFmts>
  <fonts count="12">
    <font>
      <sz val="11"/>
      <color theme="1"/>
      <name val="Calibri"/>
      <family val="2"/>
      <charset val="1"/>
    </font>
    <font>
      <sz val="10"/>
      <name val="Arial"/>
      <family val="0"/>
    </font>
    <font>
      <sz val="10"/>
      <name val="Arial"/>
      <family val="0"/>
    </font>
    <font>
      <sz val="10"/>
      <name val="Arial"/>
      <family val="0"/>
    </font>
    <font>
      <b val="true"/>
      <sz val="16"/>
      <color rgb="FF0B2545"/>
      <name val="Cambria"/>
      <family val="0"/>
      <charset val="1"/>
    </font>
    <font>
      <b val="true"/>
      <sz val="11"/>
      <name val="Cambria"/>
      <family val="0"/>
      <charset val="1"/>
    </font>
    <font>
      <b val="true"/>
      <sz val="11"/>
      <color rgb="FFFFFFFF"/>
      <name val="Cambria"/>
      <family val="0"/>
      <charset val="1"/>
    </font>
    <font>
      <sz val="11"/>
      <color rgb="FF0000FF"/>
      <name val="Cambria"/>
      <family val="0"/>
      <charset val="1"/>
    </font>
    <font>
      <i val="true"/>
      <sz val="9"/>
      <color rgb="FF777777"/>
      <name val="Cambria"/>
      <family val="0"/>
      <charset val="1"/>
    </font>
    <font>
      <sz val="11"/>
      <color rgb="FF000000"/>
      <name val="Cambria"/>
      <family val="0"/>
      <charset val="1"/>
    </font>
    <font>
      <sz val="11"/>
      <color rgb="FF777777"/>
      <name val="Cambria"/>
      <family val="0"/>
      <charset val="1"/>
    </font>
    <font>
      <sz val="11"/>
      <color rgb="FF008000"/>
      <name val="Cambria"/>
      <family val="0"/>
      <charset val="1"/>
    </font>
  </fonts>
  <fills count="4">
    <fill>
      <patternFill patternType="none"/>
    </fill>
    <fill>
      <patternFill patternType="gray125"/>
    </fill>
    <fill>
      <patternFill patternType="solid">
        <fgColor rgb="FF0B2545"/>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9" fontId="9"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7"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9" fontId="7"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69" fontId="11" fillId="0" borderId="1"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71" fontId="9"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72" fontId="9"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B2545"/>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78"/>
  </cols>
  <sheetData>
    <row r="1" customFormat="false" ht="38.8" hidden="false" customHeight="false" outlineLevel="0" collapsed="false">
      <c r="A1" s="2" t="s">
        <v>0</v>
      </c>
    </row>
    <row r="3" customFormat="false" ht="15" hidden="false" customHeight="false" outlineLevel="0" collapsed="false">
      <c r="A3" s="3" t="s">
        <v>1</v>
      </c>
    </row>
    <row r="4" customFormat="false" ht="36" hidden="false" customHeight="true" outlineLevel="0" collapsed="false">
      <c r="A4" s="4" t="s">
        <v>2</v>
      </c>
    </row>
    <row r="5" customFormat="false" ht="36" hidden="false" customHeight="true" outlineLevel="0" collapsed="false">
      <c r="A5" s="4" t="s">
        <v>3</v>
      </c>
    </row>
    <row r="6" customFormat="false" ht="36" hidden="false" customHeight="true" outlineLevel="0" collapsed="false">
      <c r="A6" s="4" t="s">
        <v>4</v>
      </c>
    </row>
    <row r="7" customFormat="false" ht="36" hidden="false" customHeight="true" outlineLevel="0" collapsed="false">
      <c r="A7" s="4" t="s">
        <v>5</v>
      </c>
    </row>
    <row r="8" customFormat="false" ht="36" hidden="false" customHeight="true" outlineLevel="0" collapsed="false">
      <c r="A8" s="4" t="s">
        <v>6</v>
      </c>
    </row>
    <row r="9" customFormat="false" ht="36" hidden="false" customHeight="true" outlineLevel="0" collapsed="false">
      <c r="A9" s="4" t="s">
        <v>7</v>
      </c>
    </row>
    <row r="10" customFormat="false" ht="36" hidden="false" customHeight="true" outlineLevel="0" collapsed="false">
      <c r="A10" s="4" t="s">
        <v>8</v>
      </c>
    </row>
    <row r="11" customFormat="false" ht="36" hidden="false" customHeight="true" outlineLevel="0" collapsed="false">
      <c r="A11" s="4" t="s">
        <v>9</v>
      </c>
    </row>
    <row r="12" customFormat="false" ht="36" hidden="false" customHeight="true" outlineLevel="0" collapsed="false">
      <c r="A12" s="4" t="s">
        <v>10</v>
      </c>
    </row>
    <row r="13" customFormat="false" ht="36" hidden="false" customHeight="true" outlineLevel="0" collapsed="false">
      <c r="A13" s="4" t="s">
        <v>11</v>
      </c>
    </row>
    <row r="14" customFormat="false" ht="36" hidden="false" customHeight="true" outlineLevel="0" collapsed="false">
      <c r="A14" s="4" t="s">
        <v>12</v>
      </c>
    </row>
    <row r="16" customFormat="false" ht="15" hidden="false" customHeight="false" outlineLevel="0" collapsed="false">
      <c r="A16" s="3" t="s">
        <v>13</v>
      </c>
    </row>
    <row r="17" customFormat="false" ht="36" hidden="false" customHeight="true" outlineLevel="0" collapsed="false">
      <c r="A17" s="4" t="s">
        <v>14</v>
      </c>
    </row>
    <row r="18" customFormat="false" ht="36" hidden="false" customHeight="true" outlineLevel="0" collapsed="false">
      <c r="A18" s="4" t="s">
        <v>15</v>
      </c>
    </row>
    <row r="19" customFormat="false" ht="36" hidden="false" customHeight="true" outlineLevel="0" collapsed="false">
      <c r="A19" s="4" t="s">
        <v>16</v>
      </c>
    </row>
    <row r="20" customFormat="false" ht="36" hidden="false" customHeight="true" outlineLevel="0" collapsed="false">
      <c r="A20" s="4" t="s">
        <v>17</v>
      </c>
    </row>
    <row r="21" customFormat="false" ht="141" hidden="false" customHeight="true" outlineLevel="0" collapsed="false">
      <c r="A21" s="4" t="s">
        <v>18</v>
      </c>
    </row>
  </sheetData>
  <printOptions headings="false" gridLines="false" gridLinesSet="true" horizontalCentered="false" verticalCentered="false"/>
  <pageMargins left="0.5" right="0.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50"/>
  </cols>
  <sheetData>
    <row r="1" customFormat="false" ht="19.5" hidden="false" customHeight="true" outlineLevel="0" collapsed="false">
      <c r="A1" s="5" t="s">
        <v>19</v>
      </c>
    </row>
    <row r="3" customFormat="false" ht="15" hidden="false" customHeight="true" outlineLevel="0" collapsed="false">
      <c r="A3" s="6" t="s">
        <v>20</v>
      </c>
      <c r="B3" s="6" t="s">
        <v>21</v>
      </c>
      <c r="C3" s="6" t="s">
        <v>22</v>
      </c>
    </row>
    <row r="4" customFormat="false" ht="36" hidden="false" customHeight="true" outlineLevel="0" collapsed="false">
      <c r="A4" s="7" t="s">
        <v>23</v>
      </c>
      <c r="B4" s="8"/>
      <c r="C4" s="8"/>
    </row>
    <row r="5" customFormat="false" ht="36" hidden="false" customHeight="true" outlineLevel="0" collapsed="false">
      <c r="A5" s="9" t="s">
        <v>24</v>
      </c>
      <c r="B5" s="10" t="n">
        <v>1200</v>
      </c>
      <c r="C5" s="11" t="s">
        <v>25</v>
      </c>
    </row>
    <row r="6" customFormat="false" ht="36" hidden="false" customHeight="true" outlineLevel="0" collapsed="false">
      <c r="A6" s="9" t="s">
        <v>26</v>
      </c>
      <c r="B6" s="10" t="n">
        <v>4500</v>
      </c>
      <c r="C6" s="11" t="s">
        <v>27</v>
      </c>
    </row>
    <row r="7" customFormat="false" ht="36" hidden="false" customHeight="true" outlineLevel="0" collapsed="false">
      <c r="A7" s="9" t="s">
        <v>28</v>
      </c>
      <c r="B7" s="10" t="n">
        <v>9000</v>
      </c>
      <c r="C7" s="11" t="s">
        <v>29</v>
      </c>
    </row>
    <row r="8" customFormat="false" ht="51" hidden="false" customHeight="true" outlineLevel="0" collapsed="false">
      <c r="A8" s="9" t="s">
        <v>30</v>
      </c>
      <c r="B8" s="10" t="n">
        <v>15000</v>
      </c>
      <c r="C8" s="11" t="s">
        <v>31</v>
      </c>
    </row>
    <row r="9" customFormat="false" ht="15" hidden="false" customHeight="false" outlineLevel="0" collapsed="false">
      <c r="A9" s="7" t="s">
        <v>32</v>
      </c>
      <c r="B9" s="8"/>
      <c r="C9" s="8"/>
    </row>
    <row r="10" customFormat="false" ht="36" hidden="false" customHeight="true" outlineLevel="0" collapsed="false">
      <c r="A10" s="9" t="s">
        <v>33</v>
      </c>
      <c r="B10" s="12" t="n">
        <v>49</v>
      </c>
      <c r="C10" s="11" t="s">
        <v>34</v>
      </c>
    </row>
    <row r="11" customFormat="false" ht="36" hidden="false" customHeight="true" outlineLevel="0" collapsed="false">
      <c r="A11" s="9" t="s">
        <v>35</v>
      </c>
      <c r="B11" s="13" t="n">
        <v>39.2</v>
      </c>
      <c r="C11" s="11" t="s">
        <v>36</v>
      </c>
    </row>
    <row r="12" customFormat="false" ht="36" hidden="false" customHeight="true" outlineLevel="0" collapsed="false">
      <c r="A12" s="9" t="s">
        <v>37</v>
      </c>
      <c r="B12" s="14" t="n">
        <v>0.3</v>
      </c>
      <c r="C12" s="11" t="s">
        <v>38</v>
      </c>
    </row>
    <row r="13" customFormat="false" ht="36" hidden="false" customHeight="true" outlineLevel="0" collapsed="false">
      <c r="A13" s="7" t="s">
        <v>39</v>
      </c>
      <c r="B13" s="8"/>
      <c r="C13" s="8"/>
    </row>
    <row r="14" customFormat="false" ht="51" hidden="false" customHeight="true" outlineLevel="0" collapsed="false">
      <c r="A14" s="9" t="s">
        <v>40</v>
      </c>
      <c r="B14" s="15" t="n">
        <v>0.35</v>
      </c>
      <c r="C14" s="11" t="s">
        <v>41</v>
      </c>
    </row>
    <row r="15" customFormat="false" ht="36" hidden="false" customHeight="true" outlineLevel="0" collapsed="false">
      <c r="A15" s="9" t="s">
        <v>42</v>
      </c>
      <c r="B15" s="15" t="n">
        <v>0.14</v>
      </c>
      <c r="C15" s="11" t="s">
        <v>43</v>
      </c>
    </row>
    <row r="16" customFormat="false" ht="36" hidden="false" customHeight="true" outlineLevel="0" collapsed="false">
      <c r="A16" s="9" t="s">
        <v>44</v>
      </c>
      <c r="B16" s="16" t="n">
        <v>0.08</v>
      </c>
      <c r="C16" s="11" t="s">
        <v>45</v>
      </c>
    </row>
    <row r="17" customFormat="false" ht="36" hidden="false" customHeight="true" outlineLevel="0" collapsed="false">
      <c r="A17" s="9" t="s">
        <v>46</v>
      </c>
      <c r="B17" s="16" t="n">
        <v>0.05</v>
      </c>
      <c r="C17" s="11" t="s">
        <v>47</v>
      </c>
    </row>
    <row r="18" customFormat="false" ht="36" hidden="false" customHeight="true" outlineLevel="0" collapsed="false">
      <c r="A18" s="9" t="s">
        <v>48</v>
      </c>
      <c r="B18" s="15" t="n">
        <v>0.02</v>
      </c>
      <c r="C18" s="11" t="s">
        <v>49</v>
      </c>
    </row>
    <row r="19" customFormat="false" ht="36" hidden="false" customHeight="true" outlineLevel="0" collapsed="false">
      <c r="A19" s="7" t="s">
        <v>50</v>
      </c>
      <c r="B19" s="8"/>
      <c r="C19" s="8"/>
    </row>
    <row r="20" customFormat="false" ht="36" hidden="false" customHeight="true" outlineLevel="0" collapsed="false">
      <c r="A20" s="9" t="s">
        <v>51</v>
      </c>
      <c r="B20" s="15" t="n">
        <v>0.35</v>
      </c>
      <c r="C20" s="11" t="s">
        <v>52</v>
      </c>
    </row>
    <row r="21" customFormat="false" ht="36" hidden="false" customHeight="true" outlineLevel="0" collapsed="false">
      <c r="A21" s="9" t="s">
        <v>53</v>
      </c>
      <c r="B21" s="15" t="n">
        <v>0.35</v>
      </c>
      <c r="C21" s="11" t="s">
        <v>52</v>
      </c>
    </row>
    <row r="22" customFormat="false" ht="36" hidden="false" customHeight="true" outlineLevel="0" collapsed="false">
      <c r="A22" s="9" t="s">
        <v>54</v>
      </c>
      <c r="B22" s="15" t="n">
        <v>0.55</v>
      </c>
      <c r="C22" s="11" t="s">
        <v>52</v>
      </c>
    </row>
    <row r="23" customFormat="false" ht="36" hidden="false" customHeight="true" outlineLevel="0" collapsed="false">
      <c r="A23" s="9" t="s">
        <v>55</v>
      </c>
      <c r="B23" s="15" t="n">
        <v>0.85</v>
      </c>
      <c r="C23" s="11" t="s">
        <v>52</v>
      </c>
    </row>
    <row r="24" customFormat="false" ht="36" hidden="false" customHeight="true" outlineLevel="0" collapsed="false">
      <c r="A24" s="9" t="s">
        <v>56</v>
      </c>
      <c r="B24" s="15" t="n">
        <v>1</v>
      </c>
      <c r="C24" s="11" t="s">
        <v>52</v>
      </c>
    </row>
    <row r="25" customFormat="false" ht="36" hidden="false" customHeight="true" outlineLevel="0" collapsed="false">
      <c r="A25" s="9" t="s">
        <v>57</v>
      </c>
      <c r="B25" s="15" t="n">
        <v>1</v>
      </c>
      <c r="C25" s="11" t="s">
        <v>52</v>
      </c>
    </row>
    <row r="26" customFormat="false" ht="36" hidden="false" customHeight="true" outlineLevel="0" collapsed="false">
      <c r="A26" s="9" t="s">
        <v>58</v>
      </c>
      <c r="B26" s="15" t="n">
        <v>1</v>
      </c>
      <c r="C26" s="11" t="s">
        <v>52</v>
      </c>
    </row>
    <row r="27" customFormat="false" ht="36" hidden="false" customHeight="true" outlineLevel="0" collapsed="false">
      <c r="A27" s="9" t="s">
        <v>59</v>
      </c>
      <c r="B27" s="15" t="n">
        <v>1</v>
      </c>
      <c r="C27" s="11" t="s">
        <v>52</v>
      </c>
    </row>
    <row r="28" customFormat="false" ht="36" hidden="false" customHeight="true" outlineLevel="0" collapsed="false">
      <c r="A28" s="9" t="s">
        <v>60</v>
      </c>
      <c r="B28" s="15" t="n">
        <v>1</v>
      </c>
      <c r="C28" s="11" t="s">
        <v>52</v>
      </c>
    </row>
    <row r="29" customFormat="false" ht="36" hidden="false" customHeight="true" outlineLevel="0" collapsed="false">
      <c r="A29" s="9" t="s">
        <v>61</v>
      </c>
      <c r="B29" s="15" t="n">
        <v>0.85</v>
      </c>
      <c r="C29" s="11" t="s">
        <v>52</v>
      </c>
    </row>
    <row r="30" customFormat="false" ht="36" hidden="false" customHeight="true" outlineLevel="0" collapsed="false">
      <c r="A30" s="9" t="s">
        <v>62</v>
      </c>
      <c r="B30" s="15" t="n">
        <v>0.45</v>
      </c>
      <c r="C30" s="11" t="s">
        <v>52</v>
      </c>
    </row>
    <row r="31" customFormat="false" ht="36" hidden="false" customHeight="true" outlineLevel="0" collapsed="false">
      <c r="A31" s="9" t="s">
        <v>63</v>
      </c>
      <c r="B31" s="15" t="n">
        <v>0.35</v>
      </c>
      <c r="C31" s="11" t="s">
        <v>52</v>
      </c>
    </row>
    <row r="32" customFormat="false" ht="15" hidden="false" customHeight="false" outlineLevel="0" collapsed="false">
      <c r="A32" s="7" t="s">
        <v>64</v>
      </c>
      <c r="B32" s="8"/>
      <c r="C32" s="8"/>
    </row>
    <row r="33" customFormat="false" ht="15" hidden="false" customHeight="false" outlineLevel="0" collapsed="false">
      <c r="A33" s="9" t="s">
        <v>65</v>
      </c>
      <c r="B33" s="16" t="n">
        <v>0.85</v>
      </c>
      <c r="C33" s="11" t="s">
        <v>66</v>
      </c>
    </row>
    <row r="34" customFormat="false" ht="36" hidden="false" customHeight="true" outlineLevel="0" collapsed="false">
      <c r="A34" s="9" t="s">
        <v>67</v>
      </c>
      <c r="B34" s="13" t="n">
        <v>150</v>
      </c>
      <c r="C34" s="11" t="s">
        <v>68</v>
      </c>
    </row>
    <row r="35" customFormat="false" ht="36" hidden="false" customHeight="true" outlineLevel="0" collapsed="false">
      <c r="A35" s="9" t="s">
        <v>69</v>
      </c>
      <c r="B35" s="17" t="n">
        <v>24</v>
      </c>
      <c r="C35" s="11" t="s">
        <v>70</v>
      </c>
    </row>
    <row r="36" customFormat="false" ht="15" hidden="false" customHeight="false" outlineLevel="0" collapsed="false">
      <c r="A36" s="7" t="s">
        <v>71</v>
      </c>
      <c r="B36" s="8"/>
      <c r="C36" s="8"/>
    </row>
    <row r="37" customFormat="false" ht="141" hidden="false" customHeight="true" outlineLevel="0" collapsed="false">
      <c r="A37" s="9" t="s">
        <v>72</v>
      </c>
      <c r="B37" s="18" t="n">
        <f aca="false">(B81*B75+B82)*(1+B83)</f>
        <v>339250</v>
      </c>
      <c r="C37" s="19" t="s">
        <v>73</v>
      </c>
    </row>
    <row r="38" customFormat="false" ht="141" hidden="false" customHeight="true" outlineLevel="0" collapsed="false">
      <c r="A38" s="9" t="s">
        <v>74</v>
      </c>
      <c r="B38" s="18" t="n">
        <f aca="false">B37</f>
        <v>339250</v>
      </c>
      <c r="C38" s="19" t="s">
        <v>73</v>
      </c>
    </row>
    <row r="39" customFormat="false" ht="141" hidden="false" customHeight="true" outlineLevel="0" collapsed="false">
      <c r="A39" s="9" t="s">
        <v>75</v>
      </c>
      <c r="B39" s="18" t="n">
        <f aca="false">B37</f>
        <v>339250</v>
      </c>
      <c r="C39" s="19" t="s">
        <v>73</v>
      </c>
    </row>
    <row r="40" customFormat="false" ht="141" hidden="false" customHeight="true" outlineLevel="0" collapsed="false">
      <c r="A40" s="9" t="s">
        <v>76</v>
      </c>
      <c r="B40" s="18" t="n">
        <f aca="false">B37</f>
        <v>339250</v>
      </c>
      <c r="C40" s="19" t="s">
        <v>73</v>
      </c>
    </row>
    <row r="41" customFormat="false" ht="36" hidden="false" customHeight="true" outlineLevel="0" collapsed="false">
      <c r="A41" s="7" t="s">
        <v>77</v>
      </c>
      <c r="B41" s="8"/>
      <c r="C41" s="8"/>
    </row>
    <row r="42" customFormat="false" ht="36" hidden="false" customHeight="true" outlineLevel="0" collapsed="false">
      <c r="A42" s="9" t="s">
        <v>78</v>
      </c>
      <c r="B42" s="10" t="n">
        <v>2</v>
      </c>
      <c r="C42" s="11" t="s">
        <v>79</v>
      </c>
    </row>
    <row r="44" customFormat="false" ht="51" hidden="false" customHeight="true" outlineLevel="0" collapsed="false">
      <c r="A44" s="20" t="s">
        <v>80</v>
      </c>
    </row>
    <row r="45" customFormat="false" ht="66" hidden="false" customHeight="true" outlineLevel="0" collapsed="false">
      <c r="A45" s="4" t="s">
        <v>81</v>
      </c>
      <c r="B45" s="21" t="n">
        <v>13</v>
      </c>
      <c r="C45" s="22" t="s">
        <v>82</v>
      </c>
    </row>
    <row r="46" customFormat="false" ht="51" hidden="false" customHeight="true" outlineLevel="0" collapsed="false">
      <c r="A46" s="4" t="s">
        <v>83</v>
      </c>
      <c r="B46" s="23" t="n">
        <v>2000</v>
      </c>
      <c r="C46" s="22" t="s">
        <v>84</v>
      </c>
    </row>
    <row r="47" customFormat="false" ht="96" hidden="false" customHeight="true" outlineLevel="0" collapsed="false">
      <c r="A47" s="4" t="s">
        <v>85</v>
      </c>
      <c r="B47" s="24" t="n">
        <f aca="false">B68</f>
        <v>50</v>
      </c>
      <c r="C47" s="25" t="s">
        <v>86</v>
      </c>
    </row>
    <row r="48" customFormat="false" ht="66" hidden="false" customHeight="true" outlineLevel="0" collapsed="false">
      <c r="A48" s="4" t="s">
        <v>87</v>
      </c>
      <c r="B48" s="24" t="n">
        <v>40000</v>
      </c>
      <c r="C48" s="22" t="s">
        <v>88</v>
      </c>
    </row>
    <row r="49" customFormat="false" ht="51" hidden="false" customHeight="true" outlineLevel="0" collapsed="false">
      <c r="A49" s="4" t="s">
        <v>89</v>
      </c>
      <c r="B49" s="26" t="n">
        <v>0.02</v>
      </c>
      <c r="C49" s="22" t="s">
        <v>90</v>
      </c>
    </row>
    <row r="51" customFormat="false" ht="51" hidden="false" customHeight="true" outlineLevel="0" collapsed="false">
      <c r="A51" s="20" t="s">
        <v>91</v>
      </c>
    </row>
    <row r="52" customFormat="false" ht="96" hidden="false" customHeight="true" outlineLevel="0" collapsed="false">
      <c r="A52" s="4" t="s">
        <v>92</v>
      </c>
      <c r="B52" s="26" t="n">
        <v>1</v>
      </c>
      <c r="C52" s="22" t="s">
        <v>93</v>
      </c>
    </row>
    <row r="53" customFormat="false" ht="96" hidden="false" customHeight="true" outlineLevel="0" collapsed="false">
      <c r="A53" s="4" t="s">
        <v>94</v>
      </c>
      <c r="B53" s="26" t="n">
        <v>1</v>
      </c>
      <c r="C53" s="22" t="s">
        <v>93</v>
      </c>
    </row>
    <row r="54" customFormat="false" ht="96" hidden="false" customHeight="true" outlineLevel="0" collapsed="false">
      <c r="A54" s="4" t="s">
        <v>95</v>
      </c>
      <c r="B54" s="26" t="n">
        <v>1</v>
      </c>
      <c r="C54" s="22" t="s">
        <v>93</v>
      </c>
    </row>
    <row r="55" customFormat="false" ht="96" hidden="false" customHeight="true" outlineLevel="0" collapsed="false">
      <c r="A55" s="4" t="s">
        <v>96</v>
      </c>
      <c r="B55" s="26" t="n">
        <v>0.9</v>
      </c>
      <c r="C55" s="22" t="s">
        <v>93</v>
      </c>
    </row>
    <row r="56" customFormat="false" ht="96" hidden="false" customHeight="true" outlineLevel="0" collapsed="false">
      <c r="A56" s="4" t="s">
        <v>97</v>
      </c>
      <c r="B56" s="26" t="n">
        <v>0.6</v>
      </c>
      <c r="C56" s="22" t="s">
        <v>93</v>
      </c>
    </row>
    <row r="57" customFormat="false" ht="96" hidden="false" customHeight="true" outlineLevel="0" collapsed="false">
      <c r="A57" s="4" t="s">
        <v>98</v>
      </c>
      <c r="B57" s="26" t="n">
        <v>0.4</v>
      </c>
      <c r="C57" s="22" t="s">
        <v>93</v>
      </c>
    </row>
    <row r="58" customFormat="false" ht="96" hidden="false" customHeight="true" outlineLevel="0" collapsed="false">
      <c r="A58" s="4" t="s">
        <v>99</v>
      </c>
      <c r="B58" s="26" t="n">
        <v>0.35</v>
      </c>
      <c r="C58" s="22" t="s">
        <v>93</v>
      </c>
    </row>
    <row r="59" customFormat="false" ht="96" hidden="false" customHeight="true" outlineLevel="0" collapsed="false">
      <c r="A59" s="4" t="s">
        <v>100</v>
      </c>
      <c r="B59" s="26" t="n">
        <v>0.35</v>
      </c>
      <c r="C59" s="22" t="s">
        <v>93</v>
      </c>
    </row>
    <row r="60" customFormat="false" ht="96" hidden="false" customHeight="true" outlineLevel="0" collapsed="false">
      <c r="A60" s="4" t="s">
        <v>101</v>
      </c>
      <c r="B60" s="26" t="n">
        <v>0.35</v>
      </c>
      <c r="C60" s="22" t="s">
        <v>93</v>
      </c>
    </row>
    <row r="61" customFormat="false" ht="96" hidden="false" customHeight="true" outlineLevel="0" collapsed="false">
      <c r="A61" s="4" t="s">
        <v>102</v>
      </c>
      <c r="B61" s="26" t="n">
        <v>0.4</v>
      </c>
      <c r="C61" s="22" t="s">
        <v>93</v>
      </c>
    </row>
    <row r="62" customFormat="false" ht="96" hidden="false" customHeight="true" outlineLevel="0" collapsed="false">
      <c r="A62" s="4" t="s">
        <v>103</v>
      </c>
      <c r="B62" s="26" t="n">
        <v>0.55</v>
      </c>
      <c r="C62" s="22" t="s">
        <v>93</v>
      </c>
    </row>
    <row r="63" customFormat="false" ht="96" hidden="false" customHeight="true" outlineLevel="0" collapsed="false">
      <c r="A63" s="4" t="s">
        <v>104</v>
      </c>
      <c r="B63" s="26" t="n">
        <v>0.9</v>
      </c>
      <c r="C63" s="22" t="s">
        <v>93</v>
      </c>
    </row>
    <row r="65" customFormat="false" ht="66" hidden="false" customHeight="true" outlineLevel="0" collapsed="false">
      <c r="A65" s="4" t="s">
        <v>105</v>
      </c>
      <c r="B65" s="23" t="n">
        <v>2</v>
      </c>
      <c r="C65" s="22" t="s">
        <v>106</v>
      </c>
    </row>
    <row r="67" customFormat="false" ht="51" hidden="false" customHeight="true" outlineLevel="0" collapsed="false">
      <c r="A67" s="20" t="s">
        <v>107</v>
      </c>
    </row>
    <row r="68" customFormat="false" ht="111" hidden="false" customHeight="true" outlineLevel="0" collapsed="false">
      <c r="A68" s="1" t="s">
        <v>108</v>
      </c>
      <c r="B68" s="27" t="n">
        <v>50</v>
      </c>
      <c r="C68" s="28" t="s">
        <v>109</v>
      </c>
    </row>
    <row r="69" customFormat="false" ht="126" hidden="false" customHeight="true" outlineLevel="0" collapsed="false">
      <c r="A69" s="1" t="s">
        <v>110</v>
      </c>
      <c r="B69" s="27" t="n">
        <v>300</v>
      </c>
      <c r="C69" s="28" t="s">
        <v>111</v>
      </c>
    </row>
    <row r="70" customFormat="false" ht="66" hidden="false" customHeight="true" outlineLevel="0" collapsed="false">
      <c r="A70" s="1" t="s">
        <v>112</v>
      </c>
      <c r="B70" s="21" t="n">
        <v>6</v>
      </c>
      <c r="C70" s="28" t="s">
        <v>113</v>
      </c>
    </row>
    <row r="71" customFormat="false" ht="51" hidden="false" customHeight="true" outlineLevel="0" collapsed="false">
      <c r="A71" s="1" t="s">
        <v>114</v>
      </c>
      <c r="B71" s="24" t="n">
        <v>75</v>
      </c>
      <c r="C71" s="28" t="s">
        <v>115</v>
      </c>
    </row>
    <row r="72" customFormat="false" ht="171" hidden="false" customHeight="true" outlineLevel="0" collapsed="false">
      <c r="A72" s="1" t="s">
        <v>116</v>
      </c>
      <c r="B72" s="29" t="n">
        <v>0.35</v>
      </c>
      <c r="C72" s="25" t="s">
        <v>117</v>
      </c>
    </row>
    <row r="74" customFormat="false" ht="15" hidden="false" customHeight="false" outlineLevel="0" collapsed="false">
      <c r="A74" s="20" t="s">
        <v>118</v>
      </c>
    </row>
    <row r="75" customFormat="false" ht="51" hidden="false" customHeight="true" outlineLevel="0" collapsed="false">
      <c r="A75" s="1" t="s">
        <v>119</v>
      </c>
      <c r="B75" s="30" t="n">
        <v>4</v>
      </c>
      <c r="C75" s="28" t="s">
        <v>120</v>
      </c>
    </row>
    <row r="76" customFormat="false" ht="51" hidden="false" customHeight="true" outlineLevel="0" collapsed="false">
      <c r="A76" s="1" t="s">
        <v>121</v>
      </c>
      <c r="B76" s="21" t="n">
        <v>1</v>
      </c>
      <c r="C76" s="28" t="s">
        <v>122</v>
      </c>
    </row>
    <row r="77" customFormat="false" ht="81" hidden="false" customHeight="true" outlineLevel="0" collapsed="false">
      <c r="A77" s="1" t="s">
        <v>123</v>
      </c>
      <c r="B77" s="21" t="n">
        <v>13</v>
      </c>
      <c r="C77" s="28" t="s">
        <v>124</v>
      </c>
    </row>
    <row r="78" customFormat="false" ht="66" hidden="false" customHeight="true" outlineLevel="0" collapsed="false">
      <c r="A78" s="1" t="s">
        <v>125</v>
      </c>
      <c r="B78" s="24" t="n">
        <v>55000</v>
      </c>
      <c r="C78" s="28" t="s">
        <v>126</v>
      </c>
    </row>
    <row r="80" customFormat="false" ht="51" hidden="false" customHeight="true" outlineLevel="0" collapsed="false">
      <c r="A80" s="20" t="s">
        <v>127</v>
      </c>
    </row>
    <row r="81" customFormat="false" ht="51" hidden="false" customHeight="true" outlineLevel="0" collapsed="false">
      <c r="A81" s="1" t="s">
        <v>128</v>
      </c>
      <c r="B81" s="27" t="n">
        <v>65000</v>
      </c>
      <c r="C81" s="25" t="s">
        <v>129</v>
      </c>
    </row>
    <row r="82" customFormat="false" ht="66" hidden="false" customHeight="true" outlineLevel="0" collapsed="false">
      <c r="A82" s="1" t="s">
        <v>130</v>
      </c>
      <c r="B82" s="24" t="n">
        <v>35000</v>
      </c>
      <c r="C82" s="28" t="s">
        <v>131</v>
      </c>
    </row>
    <row r="83" customFormat="false" ht="51" hidden="false" customHeight="true" outlineLevel="0" collapsed="false">
      <c r="A83" s="1" t="s">
        <v>132</v>
      </c>
      <c r="B83" s="26" t="n">
        <v>0.15</v>
      </c>
      <c r="C83" s="28" t="s">
        <v>133</v>
      </c>
    </row>
    <row r="85" customFormat="false" ht="36" hidden="false" customHeight="true" outlineLevel="0" collapsed="false">
      <c r="A85" s="20" t="s">
        <v>134</v>
      </c>
    </row>
    <row r="86" customFormat="false" ht="81" hidden="false" customHeight="true" outlineLevel="0" collapsed="false">
      <c r="A86" s="1" t="s">
        <v>135</v>
      </c>
      <c r="B86" s="21" t="n">
        <v>0</v>
      </c>
      <c r="C86" s="28" t="s">
        <v>136</v>
      </c>
    </row>
    <row r="87" customFormat="false" ht="51" hidden="false" customHeight="true" outlineLevel="0" collapsed="false">
      <c r="A87" s="1" t="s">
        <v>137</v>
      </c>
      <c r="B87" s="24" t="n">
        <v>45000</v>
      </c>
      <c r="C87" s="28" t="s">
        <v>138</v>
      </c>
    </row>
    <row r="89" customFormat="false" ht="15" hidden="false" customHeight="false" outlineLevel="0" collapsed="false">
      <c r="A89" s="20" t="s">
        <v>139</v>
      </c>
    </row>
    <row r="90" customFormat="false" ht="52.2" hidden="false" customHeight="false" outlineLevel="0" collapsed="false">
      <c r="A90" s="1" t="s">
        <v>140</v>
      </c>
      <c r="B90" s="31" t="n">
        <v>0</v>
      </c>
      <c r="C90" s="25" t="s">
        <v>141</v>
      </c>
    </row>
    <row r="91" customFormat="false" ht="39.55" hidden="false" customHeight="false" outlineLevel="0" collapsed="false">
      <c r="A91" s="1" t="s">
        <v>142</v>
      </c>
      <c r="B91" s="21" t="n">
        <v>7</v>
      </c>
      <c r="C91" s="25" t="s">
        <v>143</v>
      </c>
    </row>
    <row r="92" customFormat="false" ht="52.2" hidden="false" customHeight="false" outlineLevel="0" collapsed="false">
      <c r="A92" s="1" t="s">
        <v>144</v>
      </c>
      <c r="B92" s="21" t="n">
        <v>19</v>
      </c>
      <c r="C92" s="25"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9"/>
    <col collapsed="false" customWidth="true" hidden="false" outlineLevel="0" max="2" min="2" style="1" width="13.5"/>
    <col collapsed="false" customWidth="true" hidden="false" outlineLevel="0" max="3" min="3" style="1" width="9"/>
    <col collapsed="false" customWidth="true" hidden="false" outlineLevel="0" max="16" min="4" style="1" width="13.5"/>
    <col collapsed="false" customWidth="true" hidden="false" outlineLevel="0" max="38" min="17" style="0" width="13.5"/>
  </cols>
  <sheetData>
    <row r="1" customFormat="false" ht="45" hidden="false" customHeight="true" outlineLevel="0" collapsed="false">
      <c r="A1" s="32" t="s">
        <v>146</v>
      </c>
      <c r="B1" s="32" t="s">
        <v>147</v>
      </c>
      <c r="C1" s="33" t="s">
        <v>148</v>
      </c>
      <c r="D1" s="32" t="s">
        <v>149</v>
      </c>
      <c r="E1" s="32" t="s">
        <v>150</v>
      </c>
      <c r="F1" s="32" t="s">
        <v>151</v>
      </c>
      <c r="G1" s="32" t="s">
        <v>152</v>
      </c>
      <c r="H1" s="32" t="s">
        <v>153</v>
      </c>
      <c r="I1" s="32" t="s">
        <v>154</v>
      </c>
      <c r="J1" s="32" t="s">
        <v>155</v>
      </c>
      <c r="K1" s="32" t="s">
        <v>156</v>
      </c>
      <c r="L1" s="32" t="s">
        <v>157</v>
      </c>
      <c r="M1" s="32" t="s">
        <v>158</v>
      </c>
      <c r="N1" s="32" t="s">
        <v>159</v>
      </c>
      <c r="O1" s="32" t="s">
        <v>160</v>
      </c>
      <c r="P1" s="32" t="s">
        <v>161</v>
      </c>
      <c r="Q1" s="32" t="s">
        <v>162</v>
      </c>
      <c r="R1" s="32" t="s">
        <v>163</v>
      </c>
      <c r="S1" s="32" t="s">
        <v>164</v>
      </c>
      <c r="T1" s="32" t="s">
        <v>165</v>
      </c>
      <c r="U1" s="32" t="s">
        <v>166</v>
      </c>
      <c r="V1" s="32" t="s">
        <v>167</v>
      </c>
      <c r="W1" s="32" t="s">
        <v>168</v>
      </c>
      <c r="X1" s="32" t="s">
        <v>169</v>
      </c>
      <c r="Y1" s="32" t="s">
        <v>170</v>
      </c>
      <c r="Z1" s="32" t="s">
        <v>171</v>
      </c>
      <c r="AA1" s="32" t="s">
        <v>172</v>
      </c>
      <c r="AB1" s="32" t="s">
        <v>173</v>
      </c>
      <c r="AC1" s="32" t="s">
        <v>174</v>
      </c>
      <c r="AD1" s="32" t="s">
        <v>175</v>
      </c>
      <c r="AE1" s="32" t="s">
        <v>176</v>
      </c>
      <c r="AF1" s="32" t="s">
        <v>177</v>
      </c>
      <c r="AG1" s="32" t="s">
        <v>178</v>
      </c>
      <c r="AH1" s="32" t="s">
        <v>179</v>
      </c>
      <c r="AI1" s="32" t="s">
        <v>180</v>
      </c>
      <c r="AJ1" s="32" t="s">
        <v>181</v>
      </c>
      <c r="AK1" s="32" t="s">
        <v>182</v>
      </c>
      <c r="AL1" s="32" t="s">
        <v>183</v>
      </c>
    </row>
    <row r="2" customFormat="false" ht="15" hidden="false" customHeight="true" outlineLevel="0" collapsed="false">
      <c r="A2" s="34" t="n">
        <v>1</v>
      </c>
      <c r="B2" s="8" t="s">
        <v>184</v>
      </c>
      <c r="C2" s="34" t="n">
        <f aca="false">IF(A2&lt;=12,1,IF(A2&lt;=24,2,IF(A2&lt;=36,3,4)))</f>
        <v>1</v>
      </c>
      <c r="D2" s="8" t="str">
        <f aca="false">IF(A2&lt;=6,"P1: Pilot-&gt;Seed",IF(A2&lt;=18,"P2: Scale/Series A",IF(A2&lt;=36,"P3: Post-Series A","P4: Maturity")))</f>
        <v>P1: Pilot-&gt;Seed</v>
      </c>
      <c r="E2" s="35" t="n">
        <f aca="false">IF(C2=1,Assumptions!$B$5,IF(C2=2,Assumptions!$B$6,IF(C2=3,Assumptions!$B$7,Assumptions!$B$8)))</f>
        <v>1200</v>
      </c>
      <c r="F2" s="36" t="n">
        <f aca="false">IF(A2&lt;=6,Assumptions!$B$14,IF(A2&lt;=18,Assumptions!$B$15,IF(A2&lt;=36,Assumptions!$B$16,Assumptions!$B$17)))</f>
        <v>0.35</v>
      </c>
      <c r="G2" s="37" t="n">
        <f aca="false">ROUND(MAX(Assumptions!$B$42,1)*F2,0)</f>
        <v>1</v>
      </c>
      <c r="H2" s="37" t="n">
        <f aca="false">ROUND(Assumptions!$B$42*Assumptions!$B$18,0)</f>
        <v>0</v>
      </c>
      <c r="I2" s="37" t="n">
        <f aca="false">MIN(Assumptions!$B$42+G2-H2,E2)</f>
        <v>3</v>
      </c>
      <c r="J2" s="36" t="n">
        <f aca="false">Assumptions!$B$27</f>
        <v>1</v>
      </c>
      <c r="K2" s="38" t="n">
        <f aca="false">I2*J2</f>
        <v>3</v>
      </c>
      <c r="L2" s="39" t="n">
        <f aca="false">Assumptions!$B$10*(1-Assumptions!$B$12)+Assumptions!$B$11*Assumptions!$B$12</f>
        <v>46.06</v>
      </c>
      <c r="M2" s="18" t="n">
        <f aca="false">K2*L2</f>
        <v>138.18</v>
      </c>
      <c r="N2" s="40" t="n">
        <f aca="false">((IF(A2&lt;=Assumptions!$B$91,Assumptions!$B$90,IF(A2&gt;=Assumptions!$B$92,1,Assumptions!$B$90+(1-Assumptions!$B$90)*(A2-Assumptions!$B$91)/(Assumptions!$B$92-Assumptions!$B$91))))*Assumptions!$B$81*Assumptions!$B$75+Assumptions!$B$82)*(1+Assumptions!$B$83)/12</f>
        <v>3354.16666666667</v>
      </c>
      <c r="O2" s="18" t="n">
        <f aca="false">M2*Assumptions!$B$33</f>
        <v>117.453</v>
      </c>
      <c r="P2" s="18" t="n">
        <f aca="false">O2-N2</f>
        <v>-3236.71366666667</v>
      </c>
      <c r="Q2" s="1" t="str">
        <f aca="false">IF(A2&gt;=Assumptions!$B$45,A2-Assumptions!$B$45+1,"")</f>
        <v/>
      </c>
      <c r="R2" s="1" t="str">
        <f aca="false">IF(Q2="","Not yet launched",IF(Q2&lt;=6,"CP1: Launch",IF(Q2&lt;=18,"CP2: Scale",IF(Q2&lt;=36,"CP3: Mature","CP4: Steady"))))</f>
        <v>Not yet launched</v>
      </c>
      <c r="S2" s="41" t="n">
        <f aca="false">IF(Q2="",0,Assumptions!$B$46)</f>
        <v>0</v>
      </c>
      <c r="T2" s="42" t="n">
        <f aca="false">IF(Q2="",0,IF(Q2&lt;=6,Assumptions!$B$14,IF(Q2&lt;=18,Assumptions!$B$15,IF(Q2&lt;=36,Assumptions!$B$16,Assumptions!$B$17))))</f>
        <v>0</v>
      </c>
      <c r="U2" s="41" t="n">
        <f aca="false">IF(Q2="",0,IF(Q2=1,Assumptions!$B$65,ROUND(MAX(0,1)*T2,0)))</f>
        <v>0</v>
      </c>
      <c r="V2" s="41" t="n">
        <f aca="false">IF(Q2="",0,ROUND(0*Assumptions!$B$49,0))</f>
        <v>0</v>
      </c>
      <c r="W2" s="41" t="n">
        <f aca="false">IF(Q2="",0,MIN(0+U2-V2,S2))</f>
        <v>0</v>
      </c>
      <c r="X2" s="42" t="n">
        <f aca="false">IF(Q2="",0,Assumptions!$B$59)</f>
        <v>0</v>
      </c>
      <c r="Y2" s="43" t="n">
        <f aca="false">W2*X2</f>
        <v>0</v>
      </c>
      <c r="Z2" s="44" t="n">
        <f aca="false">L2</f>
        <v>46.06</v>
      </c>
      <c r="AA2" s="45" t="n">
        <f aca="false">Y2*Z2</f>
        <v>0</v>
      </c>
      <c r="AB2" s="45" t="n">
        <f aca="false">IF(A2=Assumptions!$B$45,Assumptions!$B$47+Assumptions!$B$48,IF(A2&gt;Assumptions!$B$45,Assumptions!$B$47,0))</f>
        <v>0</v>
      </c>
      <c r="AC2" s="45" t="n">
        <f aca="false">AA2*Assumptions!$B$33</f>
        <v>0</v>
      </c>
      <c r="AD2" s="41" t="n">
        <f aca="false">I2+W2</f>
        <v>3</v>
      </c>
      <c r="AE2" s="45" t="n">
        <f aca="false">M2+AA2</f>
        <v>138.18</v>
      </c>
      <c r="AF2" s="45" t="n">
        <f aca="false">N2+AB2+AJ2+AK2+AL2+Assumptions!$B$68</f>
        <v>3672.48628210877</v>
      </c>
      <c r="AG2" s="45" t="n">
        <f aca="false">O2+AC2</f>
        <v>117.453</v>
      </c>
      <c r="AH2" s="45" t="n">
        <f aca="false">AG2-AF2</f>
        <v>-3555.03328210877</v>
      </c>
      <c r="AI2" s="1"/>
      <c r="AJ2" s="46" t="n">
        <f aca="false">MAX(Assumptions!$B$71,Assumptions!$B$69*0.5^(A2/Assumptions!$B$70))+Assumptions!$B$72*(K2+Y2)</f>
        <v>268.319615442102</v>
      </c>
      <c r="AK2" s="46" t="n">
        <f aca="false">IF(AND(Assumptions!$B$76=1,A2&gt;=Assumptions!$B$77),Assumptions!$B$78/12,0)</f>
        <v>0</v>
      </c>
      <c r="AL2" s="46" t="n">
        <f aca="false">IF(AND(Assumptions!$B$86=1,Q2&lt;&gt;""),Assumptions!$B$87/12,0)</f>
        <v>0</v>
      </c>
    </row>
    <row r="3" customFormat="false" ht="15" hidden="false" customHeight="true" outlineLevel="0" collapsed="false">
      <c r="A3" s="34" t="n">
        <v>2</v>
      </c>
      <c r="B3" s="8" t="s">
        <v>185</v>
      </c>
      <c r="C3" s="34" t="n">
        <f aca="false">IF(A3&lt;=12,1,IF(A3&lt;=24,2,IF(A3&lt;=36,3,4)))</f>
        <v>1</v>
      </c>
      <c r="D3" s="8" t="str">
        <f aca="false">IF(A3&lt;=6,"P1: Pilot-&gt;Seed",IF(A3&lt;=18,"P2: Scale/Series A",IF(A3&lt;=36,"P3: Post-Series A","P4: Maturity")))</f>
        <v>P1: Pilot-&gt;Seed</v>
      </c>
      <c r="E3" s="35" t="n">
        <f aca="false">IF(C3=1,Assumptions!$B$5,IF(C3=2,Assumptions!$B$6,IF(C3=3,Assumptions!$B$7,Assumptions!$B$8)))</f>
        <v>1200</v>
      </c>
      <c r="F3" s="36" t="n">
        <f aca="false">IF(A3&lt;=6,Assumptions!$B$14,IF(A3&lt;=18,Assumptions!$B$15,IF(A3&lt;=36,Assumptions!$B$16,Assumptions!$B$17)))</f>
        <v>0.35</v>
      </c>
      <c r="G3" s="37" t="n">
        <f aca="false">ROUND(MAX(I2,1)*F3,0)</f>
        <v>1</v>
      </c>
      <c r="H3" s="37" t="n">
        <f aca="false">ROUND(I2*Assumptions!$B$18,0)</f>
        <v>0</v>
      </c>
      <c r="I3" s="37" t="n">
        <f aca="false">MIN(I2+G3-H3,E3)</f>
        <v>4</v>
      </c>
      <c r="J3" s="36" t="n">
        <f aca="false">Assumptions!$B$28</f>
        <v>1</v>
      </c>
      <c r="K3" s="38" t="n">
        <f aca="false">I3*J3</f>
        <v>4</v>
      </c>
      <c r="L3" s="39" t="n">
        <f aca="false">Assumptions!$B$10*(1-Assumptions!$B$12)+Assumptions!$B$11*Assumptions!$B$12</f>
        <v>46.06</v>
      </c>
      <c r="M3" s="18" t="n">
        <f aca="false">K3*L3</f>
        <v>184.24</v>
      </c>
      <c r="N3" s="40" t="n">
        <f aca="false">((IF(A3&lt;=Assumptions!$B$91,Assumptions!$B$90,IF(A3&gt;=Assumptions!$B$92,1,Assumptions!$B$90+(1-Assumptions!$B$90)*(A3-Assumptions!$B$91)/(Assumptions!$B$92-Assumptions!$B$91))))*Assumptions!$B$81*Assumptions!$B$75+Assumptions!$B$82)*(1+Assumptions!$B$83)/12</f>
        <v>3354.16666666667</v>
      </c>
      <c r="O3" s="18" t="n">
        <f aca="false">M3*Assumptions!$B$33</f>
        <v>156.604</v>
      </c>
      <c r="P3" s="18" t="n">
        <f aca="false">O3-N3</f>
        <v>-3197.56266666667</v>
      </c>
      <c r="Q3" s="1" t="str">
        <f aca="false">IF(A3&gt;=Assumptions!$B$45,A3-Assumptions!$B$45+1,"")</f>
        <v/>
      </c>
      <c r="R3" s="1" t="str">
        <f aca="false">IF(Q3="","Not yet launched",IF(Q3&lt;=6,"CP1: Launch",IF(Q3&lt;=18,"CP2: Scale",IF(Q3&lt;=36,"CP3: Mature","CP4: Steady"))))</f>
        <v>Not yet launched</v>
      </c>
      <c r="S3" s="41" t="n">
        <f aca="false">IF(Q3="",0,Assumptions!$B$46)</f>
        <v>0</v>
      </c>
      <c r="T3" s="42" t="n">
        <f aca="false">IF(Q3="",0,IF(Q3&lt;=6,Assumptions!$B$14,IF(Q3&lt;=18,Assumptions!$B$15,IF(Q3&lt;=36,Assumptions!$B$16,Assumptions!$B$17))))</f>
        <v>0</v>
      </c>
      <c r="U3" s="41" t="n">
        <f aca="false">IF(Q3="",0,IF(Q3=1,Assumptions!$B$65,ROUND(MAX(W2,1)*T3,0)))</f>
        <v>0</v>
      </c>
      <c r="V3" s="41" t="n">
        <f aca="false">IF(Q3="",0,ROUND(W2*Assumptions!$B$49,0))</f>
        <v>0</v>
      </c>
      <c r="W3" s="41" t="n">
        <f aca="false">IF(Q3="",0,MIN(W2+U3-V3,S3))</f>
        <v>0</v>
      </c>
      <c r="X3" s="42" t="n">
        <f aca="false">IF(Q3="",0,Assumptions!$B$60)</f>
        <v>0</v>
      </c>
      <c r="Y3" s="43" t="n">
        <f aca="false">W3*X3</f>
        <v>0</v>
      </c>
      <c r="Z3" s="44" t="n">
        <f aca="false">L3</f>
        <v>46.06</v>
      </c>
      <c r="AA3" s="45" t="n">
        <f aca="false">Y3*Z3</f>
        <v>0</v>
      </c>
      <c r="AB3" s="45" t="n">
        <f aca="false">IF(A3=Assumptions!$B$45,Assumptions!$B$47+Assumptions!$B$48,IF(A3&gt;Assumptions!$B$45,Assumptions!$B$47,0))</f>
        <v>0</v>
      </c>
      <c r="AC3" s="45" t="n">
        <f aca="false">AA3*Assumptions!$B$33</f>
        <v>0</v>
      </c>
      <c r="AD3" s="41" t="n">
        <f aca="false">I3+W3</f>
        <v>4</v>
      </c>
      <c r="AE3" s="45" t="n">
        <f aca="false">M3+AA3</f>
        <v>184.24</v>
      </c>
      <c r="AF3" s="45" t="n">
        <f aca="false">N3+AB3+AJ3+AK3+AL3+Assumptions!$B$68</f>
        <v>3643.6768244619</v>
      </c>
      <c r="AG3" s="45" t="n">
        <f aca="false">O3+AC3</f>
        <v>156.604</v>
      </c>
      <c r="AH3" s="45" t="n">
        <f aca="false">AG3-AF3</f>
        <v>-3487.0728244619</v>
      </c>
      <c r="AI3" s="42" t="n">
        <f aca="false">IFERROR((AD3-AD2)/AD2,"")</f>
        <v>0.333333333333333</v>
      </c>
      <c r="AJ3" s="46" t="n">
        <f aca="false">MAX(Assumptions!$B$71,Assumptions!$B$69*0.5^(A3/Assumptions!$B$70))+Assumptions!$B$72*(K3+Y3)</f>
        <v>239.51015779523</v>
      </c>
      <c r="AK3" s="46" t="n">
        <f aca="false">IF(AND(Assumptions!$B$76=1,A3&gt;=Assumptions!$B$77),Assumptions!$B$78/12,0)</f>
        <v>0</v>
      </c>
      <c r="AL3" s="46" t="n">
        <f aca="false">IF(AND(Assumptions!$B$86=1,Q3&lt;&gt;""),Assumptions!$B$87/12,0)</f>
        <v>0</v>
      </c>
    </row>
    <row r="4" customFormat="false" ht="15" hidden="false" customHeight="true" outlineLevel="0" collapsed="false">
      <c r="A4" s="34" t="n">
        <v>3</v>
      </c>
      <c r="B4" s="8" t="s">
        <v>186</v>
      </c>
      <c r="C4" s="34" t="n">
        <f aca="false">IF(A4&lt;=12,1,IF(A4&lt;=24,2,IF(A4&lt;=36,3,4)))</f>
        <v>1</v>
      </c>
      <c r="D4" s="8" t="str">
        <f aca="false">IF(A4&lt;=6,"P1: Pilot-&gt;Seed",IF(A4&lt;=18,"P2: Scale/Series A",IF(A4&lt;=36,"P3: Post-Series A","P4: Maturity")))</f>
        <v>P1: Pilot-&gt;Seed</v>
      </c>
      <c r="E4" s="35" t="n">
        <f aca="false">IF(C4=1,Assumptions!$B$5,IF(C4=2,Assumptions!$B$6,IF(C4=3,Assumptions!$B$7,Assumptions!$B$8)))</f>
        <v>1200</v>
      </c>
      <c r="F4" s="36" t="n">
        <f aca="false">IF(A4&lt;=6,Assumptions!$B$14,IF(A4&lt;=18,Assumptions!$B$15,IF(A4&lt;=36,Assumptions!$B$16,Assumptions!$B$17)))</f>
        <v>0.35</v>
      </c>
      <c r="G4" s="37" t="n">
        <f aca="false">ROUND(MAX(I3,1)*F4,0)</f>
        <v>1</v>
      </c>
      <c r="H4" s="37" t="n">
        <f aca="false">ROUND(I3*Assumptions!$B$18,0)</f>
        <v>0</v>
      </c>
      <c r="I4" s="37" t="n">
        <f aca="false">MIN(I3+G4-H4,E4)</f>
        <v>5</v>
      </c>
      <c r="J4" s="36" t="n">
        <f aca="false">Assumptions!$B$29</f>
        <v>0.85</v>
      </c>
      <c r="K4" s="38" t="n">
        <f aca="false">I4*J4</f>
        <v>4.25</v>
      </c>
      <c r="L4" s="39" t="n">
        <f aca="false">Assumptions!$B$10*(1-Assumptions!$B$12)+Assumptions!$B$11*Assumptions!$B$12</f>
        <v>46.06</v>
      </c>
      <c r="M4" s="18" t="n">
        <f aca="false">K4*L4</f>
        <v>195.755</v>
      </c>
      <c r="N4" s="40" t="n">
        <f aca="false">((IF(A4&lt;=Assumptions!$B$91,Assumptions!$B$90,IF(A4&gt;=Assumptions!$B$92,1,Assumptions!$B$90+(1-Assumptions!$B$90)*(A4-Assumptions!$B$91)/(Assumptions!$B$92-Assumptions!$B$91))))*Assumptions!$B$81*Assumptions!$B$75+Assumptions!$B$82)*(1+Assumptions!$B$83)/12</f>
        <v>3354.16666666667</v>
      </c>
      <c r="O4" s="18" t="n">
        <f aca="false">M4*Assumptions!$B$33</f>
        <v>166.39175</v>
      </c>
      <c r="P4" s="18" t="n">
        <f aca="false">O4-N4</f>
        <v>-3187.77491666667</v>
      </c>
      <c r="Q4" s="1" t="str">
        <f aca="false">IF(A4&gt;=Assumptions!$B$45,A4-Assumptions!$B$45+1,"")</f>
        <v/>
      </c>
      <c r="R4" s="1" t="str">
        <f aca="false">IF(Q4="","Not yet launched",IF(Q4&lt;=6,"CP1: Launch",IF(Q4&lt;=18,"CP2: Scale",IF(Q4&lt;=36,"CP3: Mature","CP4: Steady"))))</f>
        <v>Not yet launched</v>
      </c>
      <c r="S4" s="41" t="n">
        <f aca="false">IF(Q4="",0,Assumptions!$B$46)</f>
        <v>0</v>
      </c>
      <c r="T4" s="42" t="n">
        <f aca="false">IF(Q4="",0,IF(Q4&lt;=6,Assumptions!$B$14,IF(Q4&lt;=18,Assumptions!$B$15,IF(Q4&lt;=36,Assumptions!$B$16,Assumptions!$B$17))))</f>
        <v>0</v>
      </c>
      <c r="U4" s="41" t="n">
        <f aca="false">IF(Q4="",0,IF(Q4=1,Assumptions!$B$65,ROUND(MAX(W3,1)*T4,0)))</f>
        <v>0</v>
      </c>
      <c r="V4" s="41" t="n">
        <f aca="false">IF(Q4="",0,ROUND(W3*Assumptions!$B$49,0))</f>
        <v>0</v>
      </c>
      <c r="W4" s="41" t="n">
        <f aca="false">IF(Q4="",0,MIN(W3+U4-V4,S4))</f>
        <v>0</v>
      </c>
      <c r="X4" s="42" t="n">
        <f aca="false">IF(Q4="",0,Assumptions!$B$61)</f>
        <v>0</v>
      </c>
      <c r="Y4" s="43" t="n">
        <f aca="false">W4*X4</f>
        <v>0</v>
      </c>
      <c r="Z4" s="44" t="n">
        <f aca="false">L4</f>
        <v>46.06</v>
      </c>
      <c r="AA4" s="45" t="n">
        <f aca="false">Y4*Z4</f>
        <v>0</v>
      </c>
      <c r="AB4" s="45" t="n">
        <f aca="false">IF(A4=Assumptions!$B$45,Assumptions!$B$47+Assumptions!$B$48,IF(A4&gt;Assumptions!$B$45,Assumptions!$B$47,0))</f>
        <v>0</v>
      </c>
      <c r="AC4" s="45" t="n">
        <f aca="false">AA4*Assumptions!$B$33</f>
        <v>0</v>
      </c>
      <c r="AD4" s="41" t="n">
        <f aca="false">I4+W4</f>
        <v>5</v>
      </c>
      <c r="AE4" s="45" t="n">
        <f aca="false">M4+AA4</f>
        <v>195.755</v>
      </c>
      <c r="AF4" s="45" t="n">
        <f aca="false">N4+AB4+AJ4+AK4+AL4+Assumptions!$B$68</f>
        <v>3617.78620102263</v>
      </c>
      <c r="AG4" s="45" t="n">
        <f aca="false">O4+AC4</f>
        <v>166.39175</v>
      </c>
      <c r="AH4" s="45" t="n">
        <f aca="false">AG4-AF4</f>
        <v>-3451.39445102263</v>
      </c>
      <c r="AI4" s="42" t="n">
        <f aca="false">IFERROR((AD4-AD3)/AD3,"")</f>
        <v>0.25</v>
      </c>
      <c r="AJ4" s="46" t="n">
        <f aca="false">MAX(Assumptions!$B$71,Assumptions!$B$69*0.5^(A4/Assumptions!$B$70))+Assumptions!$B$72*(K4+Y4)</f>
        <v>213.619534355964</v>
      </c>
      <c r="AK4" s="46" t="n">
        <f aca="false">IF(AND(Assumptions!$B$76=1,A4&gt;=Assumptions!$B$77),Assumptions!$B$78/12,0)</f>
        <v>0</v>
      </c>
      <c r="AL4" s="46" t="n">
        <f aca="false">IF(AND(Assumptions!$B$86=1,Q4&lt;&gt;""),Assumptions!$B$87/12,0)</f>
        <v>0</v>
      </c>
    </row>
    <row r="5" customFormat="false" ht="15" hidden="false" customHeight="true" outlineLevel="0" collapsed="false">
      <c r="A5" s="34" t="n">
        <v>4</v>
      </c>
      <c r="B5" s="8" t="s">
        <v>187</v>
      </c>
      <c r="C5" s="34" t="n">
        <f aca="false">IF(A5&lt;=12,1,IF(A5&lt;=24,2,IF(A5&lt;=36,3,4)))</f>
        <v>1</v>
      </c>
      <c r="D5" s="8" t="str">
        <f aca="false">IF(A5&lt;=6,"P1: Pilot-&gt;Seed",IF(A5&lt;=18,"P2: Scale/Series A",IF(A5&lt;=36,"P3: Post-Series A","P4: Maturity")))</f>
        <v>P1: Pilot-&gt;Seed</v>
      </c>
      <c r="E5" s="35" t="n">
        <f aca="false">IF(C5=1,Assumptions!$B$5,IF(C5=2,Assumptions!$B$6,IF(C5=3,Assumptions!$B$7,Assumptions!$B$8)))</f>
        <v>1200</v>
      </c>
      <c r="F5" s="36" t="n">
        <f aca="false">IF(A5&lt;=6,Assumptions!$B$14,IF(A5&lt;=18,Assumptions!$B$15,IF(A5&lt;=36,Assumptions!$B$16,Assumptions!$B$17)))</f>
        <v>0.35</v>
      </c>
      <c r="G5" s="37" t="n">
        <f aca="false">ROUND(MAX(I4,1)*F5,0)</f>
        <v>2</v>
      </c>
      <c r="H5" s="37" t="n">
        <f aca="false">ROUND(I4*Assumptions!$B$18,0)</f>
        <v>0</v>
      </c>
      <c r="I5" s="37" t="n">
        <f aca="false">MIN(I4+G5-H5,E5)</f>
        <v>7</v>
      </c>
      <c r="J5" s="36" t="n">
        <f aca="false">Assumptions!$B$30</f>
        <v>0.45</v>
      </c>
      <c r="K5" s="38" t="n">
        <f aca="false">I5*J5</f>
        <v>3.15</v>
      </c>
      <c r="L5" s="39" t="n">
        <f aca="false">Assumptions!$B$10*(1-Assumptions!$B$12)+Assumptions!$B$11*Assumptions!$B$12</f>
        <v>46.06</v>
      </c>
      <c r="M5" s="18" t="n">
        <f aca="false">K5*L5</f>
        <v>145.089</v>
      </c>
      <c r="N5" s="40" t="n">
        <f aca="false">((IF(A5&lt;=Assumptions!$B$91,Assumptions!$B$90,IF(A5&gt;=Assumptions!$B$92,1,Assumptions!$B$90+(1-Assumptions!$B$90)*(A5-Assumptions!$B$91)/(Assumptions!$B$92-Assumptions!$B$91))))*Assumptions!$B$81*Assumptions!$B$75+Assumptions!$B$82)*(1+Assumptions!$B$83)/12</f>
        <v>3354.16666666667</v>
      </c>
      <c r="O5" s="18" t="n">
        <f aca="false">M5*Assumptions!$B$33</f>
        <v>123.32565</v>
      </c>
      <c r="P5" s="18" t="n">
        <f aca="false">O5-N5</f>
        <v>-3230.84101666667</v>
      </c>
      <c r="Q5" s="1" t="str">
        <f aca="false">IF(A5&gt;=Assumptions!$B$45,A5-Assumptions!$B$45+1,"")</f>
        <v/>
      </c>
      <c r="R5" s="1" t="str">
        <f aca="false">IF(Q5="","Not yet launched",IF(Q5&lt;=6,"CP1: Launch",IF(Q5&lt;=18,"CP2: Scale",IF(Q5&lt;=36,"CP3: Mature","CP4: Steady"))))</f>
        <v>Not yet launched</v>
      </c>
      <c r="S5" s="41" t="n">
        <f aca="false">IF(Q5="",0,Assumptions!$B$46)</f>
        <v>0</v>
      </c>
      <c r="T5" s="42" t="n">
        <f aca="false">IF(Q5="",0,IF(Q5&lt;=6,Assumptions!$B$14,IF(Q5&lt;=18,Assumptions!$B$15,IF(Q5&lt;=36,Assumptions!$B$16,Assumptions!$B$17))))</f>
        <v>0</v>
      </c>
      <c r="U5" s="41" t="n">
        <f aca="false">IF(Q5="",0,IF(Q5=1,Assumptions!$B$65,ROUND(MAX(W4,1)*T5,0)))</f>
        <v>0</v>
      </c>
      <c r="V5" s="41" t="n">
        <f aca="false">IF(Q5="",0,ROUND(W4*Assumptions!$B$49,0))</f>
        <v>0</v>
      </c>
      <c r="W5" s="41" t="n">
        <f aca="false">IF(Q5="",0,MIN(W4+U5-V5,S5))</f>
        <v>0</v>
      </c>
      <c r="X5" s="42" t="n">
        <f aca="false">IF(Q5="",0,Assumptions!$B$62)</f>
        <v>0</v>
      </c>
      <c r="Y5" s="43" t="n">
        <f aca="false">W5*X5</f>
        <v>0</v>
      </c>
      <c r="Z5" s="44" t="n">
        <f aca="false">L5</f>
        <v>46.06</v>
      </c>
      <c r="AA5" s="45" t="n">
        <f aca="false">Y5*Z5</f>
        <v>0</v>
      </c>
      <c r="AB5" s="45" t="n">
        <f aca="false">IF(A5=Assumptions!$B$45,Assumptions!$B$47+Assumptions!$B$48,IF(A5&gt;Assumptions!$B$45,Assumptions!$B$47,0))</f>
        <v>0</v>
      </c>
      <c r="AC5" s="45" t="n">
        <f aca="false">AA5*Assumptions!$B$33</f>
        <v>0</v>
      </c>
      <c r="AD5" s="41" t="n">
        <f aca="false">I5+W5</f>
        <v>7</v>
      </c>
      <c r="AE5" s="45" t="n">
        <f aca="false">M5+AA5</f>
        <v>145.089</v>
      </c>
      <c r="AF5" s="45" t="n">
        <f aca="false">N5+AB5+AJ5+AK5+AL5+Assumptions!$B$68</f>
        <v>3594.2573241509</v>
      </c>
      <c r="AG5" s="45" t="n">
        <f aca="false">O5+AC5</f>
        <v>123.32565</v>
      </c>
      <c r="AH5" s="45" t="n">
        <f aca="false">AG5-AF5</f>
        <v>-3470.9316741509</v>
      </c>
      <c r="AI5" s="42" t="n">
        <f aca="false">IFERROR((AD5-AD4)/AD4,"")</f>
        <v>0.4</v>
      </c>
      <c r="AJ5" s="46" t="n">
        <f aca="false">MAX(Assumptions!$B$71,Assumptions!$B$69*0.5^(A5/Assumptions!$B$70))+Assumptions!$B$72*(K5+Y5)</f>
        <v>190.090657484231</v>
      </c>
      <c r="AK5" s="46" t="n">
        <f aca="false">IF(AND(Assumptions!$B$76=1,A5&gt;=Assumptions!$B$77),Assumptions!$B$78/12,0)</f>
        <v>0</v>
      </c>
      <c r="AL5" s="46" t="n">
        <f aca="false">IF(AND(Assumptions!$B$86=1,Q5&lt;&gt;""),Assumptions!$B$87/12,0)</f>
        <v>0</v>
      </c>
    </row>
    <row r="6" customFormat="false" ht="15" hidden="false" customHeight="true" outlineLevel="0" collapsed="false">
      <c r="A6" s="34" t="n">
        <v>5</v>
      </c>
      <c r="B6" s="8" t="s">
        <v>188</v>
      </c>
      <c r="C6" s="34" t="n">
        <f aca="false">IF(A6&lt;=12,1,IF(A6&lt;=24,2,IF(A6&lt;=36,3,4)))</f>
        <v>1</v>
      </c>
      <c r="D6" s="8" t="str">
        <f aca="false">IF(A6&lt;=6,"P1: Pilot-&gt;Seed",IF(A6&lt;=18,"P2: Scale/Series A",IF(A6&lt;=36,"P3: Post-Series A","P4: Maturity")))</f>
        <v>P1: Pilot-&gt;Seed</v>
      </c>
      <c r="E6" s="35" t="n">
        <f aca="false">IF(C6=1,Assumptions!$B$5,IF(C6=2,Assumptions!$B$6,IF(C6=3,Assumptions!$B$7,Assumptions!$B$8)))</f>
        <v>1200</v>
      </c>
      <c r="F6" s="36" t="n">
        <f aca="false">IF(A6&lt;=6,Assumptions!$B$14,IF(A6&lt;=18,Assumptions!$B$15,IF(A6&lt;=36,Assumptions!$B$16,Assumptions!$B$17)))</f>
        <v>0.35</v>
      </c>
      <c r="G6" s="37" t="n">
        <f aca="false">ROUND(MAX(I5,1)*F6,0)</f>
        <v>2</v>
      </c>
      <c r="H6" s="37" t="n">
        <f aca="false">ROUND(I5*Assumptions!$B$18,0)</f>
        <v>0</v>
      </c>
      <c r="I6" s="37" t="n">
        <f aca="false">MIN(I5+G6-H6,E6)</f>
        <v>9</v>
      </c>
      <c r="J6" s="36" t="n">
        <f aca="false">Assumptions!$B$31</f>
        <v>0.35</v>
      </c>
      <c r="K6" s="38" t="n">
        <f aca="false">I6*J6</f>
        <v>3.15</v>
      </c>
      <c r="L6" s="39" t="n">
        <f aca="false">Assumptions!$B$10*(1-Assumptions!$B$12)+Assumptions!$B$11*Assumptions!$B$12</f>
        <v>46.06</v>
      </c>
      <c r="M6" s="18" t="n">
        <f aca="false">K6*L6</f>
        <v>145.089</v>
      </c>
      <c r="N6" s="40" t="n">
        <f aca="false">((IF(A6&lt;=Assumptions!$B$91,Assumptions!$B$90,IF(A6&gt;=Assumptions!$B$92,1,Assumptions!$B$90+(1-Assumptions!$B$90)*(A6-Assumptions!$B$91)/(Assumptions!$B$92-Assumptions!$B$91))))*Assumptions!$B$81*Assumptions!$B$75+Assumptions!$B$82)*(1+Assumptions!$B$83)/12</f>
        <v>3354.16666666667</v>
      </c>
      <c r="O6" s="18" t="n">
        <f aca="false">M6*Assumptions!$B$33</f>
        <v>123.32565</v>
      </c>
      <c r="P6" s="18" t="n">
        <f aca="false">O6-N6</f>
        <v>-3230.84101666667</v>
      </c>
      <c r="Q6" s="1" t="str">
        <f aca="false">IF(A6&gt;=Assumptions!$B$45,A6-Assumptions!$B$45+1,"")</f>
        <v/>
      </c>
      <c r="R6" s="1" t="str">
        <f aca="false">IF(Q6="","Not yet launched",IF(Q6&lt;=6,"CP1: Launch",IF(Q6&lt;=18,"CP2: Scale",IF(Q6&lt;=36,"CP3: Mature","CP4: Steady"))))</f>
        <v>Not yet launched</v>
      </c>
      <c r="S6" s="41" t="n">
        <f aca="false">IF(Q6="",0,Assumptions!$B$46)</f>
        <v>0</v>
      </c>
      <c r="T6" s="42" t="n">
        <f aca="false">IF(Q6="",0,IF(Q6&lt;=6,Assumptions!$B$14,IF(Q6&lt;=18,Assumptions!$B$15,IF(Q6&lt;=36,Assumptions!$B$16,Assumptions!$B$17))))</f>
        <v>0</v>
      </c>
      <c r="U6" s="41" t="n">
        <f aca="false">IF(Q6="",0,IF(Q6=1,Assumptions!$B$65,ROUND(MAX(W5,1)*T6,0)))</f>
        <v>0</v>
      </c>
      <c r="V6" s="41" t="n">
        <f aca="false">IF(Q6="",0,ROUND(W5*Assumptions!$B$49,0))</f>
        <v>0</v>
      </c>
      <c r="W6" s="41" t="n">
        <f aca="false">IF(Q6="",0,MIN(W5+U6-V6,S6))</f>
        <v>0</v>
      </c>
      <c r="X6" s="42" t="n">
        <f aca="false">IF(Q6="",0,Assumptions!$B$63)</f>
        <v>0</v>
      </c>
      <c r="Y6" s="43" t="n">
        <f aca="false">W6*X6</f>
        <v>0</v>
      </c>
      <c r="Z6" s="44" t="n">
        <f aca="false">L6</f>
        <v>46.06</v>
      </c>
      <c r="AA6" s="45" t="n">
        <f aca="false">Y6*Z6</f>
        <v>0</v>
      </c>
      <c r="AB6" s="45" t="n">
        <f aca="false">IF(A6=Assumptions!$B$45,Assumptions!$B$47+Assumptions!$B$48,IF(A6&gt;Assumptions!$B$45,Assumptions!$B$47,0))</f>
        <v>0</v>
      </c>
      <c r="AC6" s="45" t="n">
        <f aca="false">AA6*Assumptions!$B$33</f>
        <v>0</v>
      </c>
      <c r="AD6" s="41" t="n">
        <f aca="false">I6+W6</f>
        <v>9</v>
      </c>
      <c r="AE6" s="45" t="n">
        <f aca="false">M6+AA6</f>
        <v>145.089</v>
      </c>
      <c r="AF6" s="45" t="n">
        <f aca="false">N6+AB6+AJ6+AK6+AL6+Assumptions!$B$68</f>
        <v>3573.63847391307</v>
      </c>
      <c r="AG6" s="45" t="n">
        <f aca="false">O6+AC6</f>
        <v>123.32565</v>
      </c>
      <c r="AH6" s="45" t="n">
        <f aca="false">AG6-AF6</f>
        <v>-3450.31282391307</v>
      </c>
      <c r="AI6" s="42" t="n">
        <f aca="false">IFERROR((AD6-AD5)/AD5,"")</f>
        <v>0.285714285714286</v>
      </c>
      <c r="AJ6" s="46" t="n">
        <f aca="false">MAX(Assumptions!$B$71,Assumptions!$B$69*0.5^(A6/Assumptions!$B$70))+Assumptions!$B$72*(K6+Y6)</f>
        <v>169.471807246406</v>
      </c>
      <c r="AK6" s="46" t="n">
        <f aca="false">IF(AND(Assumptions!$B$76=1,A6&gt;=Assumptions!$B$77),Assumptions!$B$78/12,0)</f>
        <v>0</v>
      </c>
      <c r="AL6" s="46" t="n">
        <f aca="false">IF(AND(Assumptions!$B$86=1,Q6&lt;&gt;""),Assumptions!$B$87/12,0)</f>
        <v>0</v>
      </c>
    </row>
    <row r="7" customFormat="false" ht="15" hidden="false" customHeight="true" outlineLevel="0" collapsed="false">
      <c r="A7" s="34" t="n">
        <v>6</v>
      </c>
      <c r="B7" s="8" t="s">
        <v>189</v>
      </c>
      <c r="C7" s="34" t="n">
        <f aca="false">IF(A7&lt;=12,1,IF(A7&lt;=24,2,IF(A7&lt;=36,3,4)))</f>
        <v>1</v>
      </c>
      <c r="D7" s="8" t="str">
        <f aca="false">IF(A7&lt;=6,"P1: Pilot-&gt;Seed",IF(A7&lt;=18,"P2: Scale/Series A",IF(A7&lt;=36,"P3: Post-Series A","P4: Maturity")))</f>
        <v>P1: Pilot-&gt;Seed</v>
      </c>
      <c r="E7" s="35" t="n">
        <f aca="false">IF(C7=1,Assumptions!$B$5,IF(C7=2,Assumptions!$B$6,IF(C7=3,Assumptions!$B$7,Assumptions!$B$8)))</f>
        <v>1200</v>
      </c>
      <c r="F7" s="36" t="n">
        <f aca="false">IF(A7&lt;=6,Assumptions!$B$14,IF(A7&lt;=18,Assumptions!$B$15,IF(A7&lt;=36,Assumptions!$B$16,Assumptions!$B$17)))</f>
        <v>0.35</v>
      </c>
      <c r="G7" s="37" t="n">
        <f aca="false">ROUND(MAX(I6,1)*F7,0)</f>
        <v>3</v>
      </c>
      <c r="H7" s="37" t="n">
        <f aca="false">ROUND(I6*Assumptions!$B$18,0)</f>
        <v>0</v>
      </c>
      <c r="I7" s="37" t="n">
        <f aca="false">MIN(I6+G7-H7,E7)</f>
        <v>12</v>
      </c>
      <c r="J7" s="36" t="n">
        <f aca="false">Assumptions!$B$20</f>
        <v>0.35</v>
      </c>
      <c r="K7" s="38" t="n">
        <f aca="false">I7*J7</f>
        <v>4.2</v>
      </c>
      <c r="L7" s="39" t="n">
        <f aca="false">Assumptions!$B$10*(1-Assumptions!$B$12)+Assumptions!$B$11*Assumptions!$B$12</f>
        <v>46.06</v>
      </c>
      <c r="M7" s="18" t="n">
        <f aca="false">K7*L7</f>
        <v>193.452</v>
      </c>
      <c r="N7" s="40" t="n">
        <f aca="false">((IF(A7&lt;=Assumptions!$B$91,Assumptions!$B$90,IF(A7&gt;=Assumptions!$B$92,1,Assumptions!$B$90+(1-Assumptions!$B$90)*(A7-Assumptions!$B$91)/(Assumptions!$B$92-Assumptions!$B$91))))*Assumptions!$B$81*Assumptions!$B$75+Assumptions!$B$82)*(1+Assumptions!$B$83)/12</f>
        <v>3354.16666666667</v>
      </c>
      <c r="O7" s="18" t="n">
        <f aca="false">M7*Assumptions!$B$33</f>
        <v>164.4342</v>
      </c>
      <c r="P7" s="18" t="n">
        <f aca="false">O7-N7</f>
        <v>-3189.73246666667</v>
      </c>
      <c r="Q7" s="1" t="str">
        <f aca="false">IF(A7&gt;=Assumptions!$B$45,A7-Assumptions!$B$45+1,"")</f>
        <v/>
      </c>
      <c r="R7" s="1" t="str">
        <f aca="false">IF(Q7="","Not yet launched",IF(Q7&lt;=6,"CP1: Launch",IF(Q7&lt;=18,"CP2: Scale",IF(Q7&lt;=36,"CP3: Mature","CP4: Steady"))))</f>
        <v>Not yet launched</v>
      </c>
      <c r="S7" s="41" t="n">
        <f aca="false">IF(Q7="",0,Assumptions!$B$46)</f>
        <v>0</v>
      </c>
      <c r="T7" s="42" t="n">
        <f aca="false">IF(Q7="",0,IF(Q7&lt;=6,Assumptions!$B$14,IF(Q7&lt;=18,Assumptions!$B$15,IF(Q7&lt;=36,Assumptions!$B$16,Assumptions!$B$17))))</f>
        <v>0</v>
      </c>
      <c r="U7" s="41" t="n">
        <f aca="false">IF(Q7="",0,IF(Q7=1,Assumptions!$B$65,ROUND(MAX(W6,1)*T7,0)))</f>
        <v>0</v>
      </c>
      <c r="V7" s="41" t="n">
        <f aca="false">IF(Q7="",0,ROUND(W6*Assumptions!$B$49,0))</f>
        <v>0</v>
      </c>
      <c r="W7" s="41" t="n">
        <f aca="false">IF(Q7="",0,MIN(W6+U7-V7,S7))</f>
        <v>0</v>
      </c>
      <c r="X7" s="42" t="n">
        <f aca="false">IF(Q7="",0,Assumptions!$B$52)</f>
        <v>0</v>
      </c>
      <c r="Y7" s="43" t="n">
        <f aca="false">W7*X7</f>
        <v>0</v>
      </c>
      <c r="Z7" s="44" t="n">
        <f aca="false">L7</f>
        <v>46.06</v>
      </c>
      <c r="AA7" s="45" t="n">
        <f aca="false">Y7*Z7</f>
        <v>0</v>
      </c>
      <c r="AB7" s="45" t="n">
        <f aca="false">IF(A7=Assumptions!$B$45,Assumptions!$B$47+Assumptions!$B$48,IF(A7&gt;Assumptions!$B$45,Assumptions!$B$47,0))</f>
        <v>0</v>
      </c>
      <c r="AC7" s="45" t="n">
        <f aca="false">AA7*Assumptions!$B$33</f>
        <v>0</v>
      </c>
      <c r="AD7" s="41" t="n">
        <f aca="false">I7+W7</f>
        <v>12</v>
      </c>
      <c r="AE7" s="45" t="n">
        <f aca="false">M7+AA7</f>
        <v>193.452</v>
      </c>
      <c r="AF7" s="45" t="n">
        <f aca="false">N7+AB7+AJ7+AK7+AL7+Assumptions!$B$68</f>
        <v>3555.63666666667</v>
      </c>
      <c r="AG7" s="45" t="n">
        <f aca="false">O7+AC7</f>
        <v>164.4342</v>
      </c>
      <c r="AH7" s="45" t="n">
        <f aca="false">AG7-AF7</f>
        <v>-3391.20246666667</v>
      </c>
      <c r="AI7" s="42" t="n">
        <f aca="false">IFERROR((AD7-AD6)/AD6,"")</f>
        <v>0.333333333333333</v>
      </c>
      <c r="AJ7" s="46" t="n">
        <f aca="false">MAX(Assumptions!$B$71,Assumptions!$B$69*0.5^(A7/Assumptions!$B$70))+Assumptions!$B$72*(K7+Y7)</f>
        <v>151.47</v>
      </c>
      <c r="AK7" s="46" t="n">
        <f aca="false">IF(AND(Assumptions!$B$76=1,A7&gt;=Assumptions!$B$77),Assumptions!$B$78/12,0)</f>
        <v>0</v>
      </c>
      <c r="AL7" s="46" t="n">
        <f aca="false">IF(AND(Assumptions!$B$86=1,Q7&lt;&gt;""),Assumptions!$B$87/12,0)</f>
        <v>0</v>
      </c>
    </row>
    <row r="8" customFormat="false" ht="15" hidden="false" customHeight="true" outlineLevel="0" collapsed="false">
      <c r="A8" s="34" t="n">
        <v>7</v>
      </c>
      <c r="B8" s="8" t="s">
        <v>190</v>
      </c>
      <c r="C8" s="34" t="n">
        <f aca="false">IF(A8&lt;=12,1,IF(A8&lt;=24,2,IF(A8&lt;=36,3,4)))</f>
        <v>1</v>
      </c>
      <c r="D8" s="8" t="str">
        <f aca="false">IF(A8&lt;=6,"P1: Pilot-&gt;Seed",IF(A8&lt;=18,"P2: Scale/Series A",IF(A8&lt;=36,"P3: Post-Series A","P4: Maturity")))</f>
        <v>P2: Scale/Series A</v>
      </c>
      <c r="E8" s="35" t="n">
        <f aca="false">IF(C8=1,Assumptions!$B$5,IF(C8=2,Assumptions!$B$6,IF(C8=3,Assumptions!$B$7,Assumptions!$B$8)))</f>
        <v>1200</v>
      </c>
      <c r="F8" s="36" t="n">
        <f aca="false">IF(A8&lt;=6,Assumptions!$B$14,IF(A8&lt;=18,Assumptions!$B$15,IF(A8&lt;=36,Assumptions!$B$16,Assumptions!$B$17)))</f>
        <v>0.14</v>
      </c>
      <c r="G8" s="37" t="n">
        <f aca="false">ROUND(MAX(I7,1)*F8,0)</f>
        <v>2</v>
      </c>
      <c r="H8" s="37" t="n">
        <f aca="false">ROUND(I7*Assumptions!$B$18,0)</f>
        <v>0</v>
      </c>
      <c r="I8" s="37" t="n">
        <f aca="false">MIN(I7+G8-H8,E8)</f>
        <v>14</v>
      </c>
      <c r="J8" s="36" t="n">
        <f aca="false">Assumptions!$B$21</f>
        <v>0.35</v>
      </c>
      <c r="K8" s="38" t="n">
        <f aca="false">I8*J8</f>
        <v>4.9</v>
      </c>
      <c r="L8" s="39" t="n">
        <f aca="false">Assumptions!$B$10*(1-Assumptions!$B$12)+Assumptions!$B$11*Assumptions!$B$12</f>
        <v>46.06</v>
      </c>
      <c r="M8" s="18" t="n">
        <f aca="false">K8*L8</f>
        <v>225.694</v>
      </c>
      <c r="N8" s="40" t="n">
        <f aca="false">((IF(A8&lt;=Assumptions!$B$91,Assumptions!$B$90,IF(A8&gt;=Assumptions!$B$92,1,Assumptions!$B$90+(1-Assumptions!$B$90)*(A8-Assumptions!$B$91)/(Assumptions!$B$92-Assumptions!$B$91))))*Assumptions!$B$81*Assumptions!$B$75+Assumptions!$B$82)*(1+Assumptions!$B$83)/12</f>
        <v>3354.16666666667</v>
      </c>
      <c r="O8" s="18" t="n">
        <f aca="false">M8*Assumptions!$B$33</f>
        <v>191.8399</v>
      </c>
      <c r="P8" s="18" t="n">
        <f aca="false">O8-N8</f>
        <v>-3162.32676666667</v>
      </c>
      <c r="Q8" s="1" t="str">
        <f aca="false">IF(A8&gt;=Assumptions!$B$45,A8-Assumptions!$B$45+1,"")</f>
        <v/>
      </c>
      <c r="R8" s="1" t="str">
        <f aca="false">IF(Q8="","Not yet launched",IF(Q8&lt;=6,"CP1: Launch",IF(Q8&lt;=18,"CP2: Scale",IF(Q8&lt;=36,"CP3: Mature","CP4: Steady"))))</f>
        <v>Not yet launched</v>
      </c>
      <c r="S8" s="41" t="n">
        <f aca="false">IF(Q8="",0,Assumptions!$B$46)</f>
        <v>0</v>
      </c>
      <c r="T8" s="42" t="n">
        <f aca="false">IF(Q8="",0,IF(Q8&lt;=6,Assumptions!$B$14,IF(Q8&lt;=18,Assumptions!$B$15,IF(Q8&lt;=36,Assumptions!$B$16,Assumptions!$B$17))))</f>
        <v>0</v>
      </c>
      <c r="U8" s="41" t="n">
        <f aca="false">IF(Q8="",0,IF(Q8=1,Assumptions!$B$65,ROUND(MAX(W7,1)*T8,0)))</f>
        <v>0</v>
      </c>
      <c r="V8" s="41" t="n">
        <f aca="false">IF(Q8="",0,ROUND(W7*Assumptions!$B$49,0))</f>
        <v>0</v>
      </c>
      <c r="W8" s="41" t="n">
        <f aca="false">IF(Q8="",0,MIN(W7+U8-V8,S8))</f>
        <v>0</v>
      </c>
      <c r="X8" s="42" t="n">
        <f aca="false">IF(Q8="",0,Assumptions!$B$53)</f>
        <v>0</v>
      </c>
      <c r="Y8" s="43" t="n">
        <f aca="false">W8*X8</f>
        <v>0</v>
      </c>
      <c r="Z8" s="44" t="n">
        <f aca="false">L8</f>
        <v>46.06</v>
      </c>
      <c r="AA8" s="45" t="n">
        <f aca="false">Y8*Z8</f>
        <v>0</v>
      </c>
      <c r="AB8" s="45" t="n">
        <f aca="false">IF(A8=Assumptions!$B$45,Assumptions!$B$47+Assumptions!$B$48,IF(A8&gt;Assumptions!$B$45,Assumptions!$B$47,0))</f>
        <v>0</v>
      </c>
      <c r="AC8" s="45" t="n">
        <f aca="false">AA8*Assumptions!$B$33</f>
        <v>0</v>
      </c>
      <c r="AD8" s="41" t="n">
        <f aca="false">I8+W8</f>
        <v>14</v>
      </c>
      <c r="AE8" s="45" t="n">
        <f aca="false">M8+AA8</f>
        <v>225.694</v>
      </c>
      <c r="AF8" s="45" t="n">
        <f aca="false">N8+AB8+AJ8+AK8+AL8+Assumptions!$B$68</f>
        <v>3539.51647438772</v>
      </c>
      <c r="AG8" s="45" t="n">
        <f aca="false">O8+AC8</f>
        <v>191.8399</v>
      </c>
      <c r="AH8" s="45" t="n">
        <f aca="false">AG8-AF8</f>
        <v>-3347.67657438772</v>
      </c>
      <c r="AI8" s="42" t="n">
        <f aca="false">IFERROR((AD8-AD7)/AD7,"")</f>
        <v>0.166666666666667</v>
      </c>
      <c r="AJ8" s="46" t="n">
        <f aca="false">MAX(Assumptions!$B$71,Assumptions!$B$69*0.5^(A8/Assumptions!$B$70))+Assumptions!$B$72*(K8+Y8)</f>
        <v>135.349807721051</v>
      </c>
      <c r="AK8" s="46" t="n">
        <f aca="false">IF(AND(Assumptions!$B$76=1,A8&gt;=Assumptions!$B$77),Assumptions!$B$78/12,0)</f>
        <v>0</v>
      </c>
      <c r="AL8" s="46" t="n">
        <f aca="false">IF(AND(Assumptions!$B$86=1,Q8&lt;&gt;""),Assumptions!$B$87/12,0)</f>
        <v>0</v>
      </c>
    </row>
    <row r="9" customFormat="false" ht="15" hidden="false" customHeight="true" outlineLevel="0" collapsed="false">
      <c r="A9" s="34" t="n">
        <v>8</v>
      </c>
      <c r="B9" s="8" t="s">
        <v>191</v>
      </c>
      <c r="C9" s="34" t="n">
        <f aca="false">IF(A9&lt;=12,1,IF(A9&lt;=24,2,IF(A9&lt;=36,3,4)))</f>
        <v>1</v>
      </c>
      <c r="D9" s="8" t="str">
        <f aca="false">IF(A9&lt;=6,"P1: Pilot-&gt;Seed",IF(A9&lt;=18,"P2: Scale/Series A",IF(A9&lt;=36,"P3: Post-Series A","P4: Maturity")))</f>
        <v>P2: Scale/Series A</v>
      </c>
      <c r="E9" s="35" t="n">
        <f aca="false">IF(C9=1,Assumptions!$B$5,IF(C9=2,Assumptions!$B$6,IF(C9=3,Assumptions!$B$7,Assumptions!$B$8)))</f>
        <v>1200</v>
      </c>
      <c r="F9" s="36" t="n">
        <f aca="false">IF(A9&lt;=6,Assumptions!$B$14,IF(A9&lt;=18,Assumptions!$B$15,IF(A9&lt;=36,Assumptions!$B$16,Assumptions!$B$17)))</f>
        <v>0.14</v>
      </c>
      <c r="G9" s="37" t="n">
        <f aca="false">ROUND(MAX(I8,1)*F9,0)</f>
        <v>2</v>
      </c>
      <c r="H9" s="37" t="n">
        <f aca="false">ROUND(I8*Assumptions!$B$18,0)</f>
        <v>0</v>
      </c>
      <c r="I9" s="37" t="n">
        <f aca="false">MIN(I8+G9-H9,E9)</f>
        <v>16</v>
      </c>
      <c r="J9" s="36" t="n">
        <f aca="false">Assumptions!$B$22</f>
        <v>0.55</v>
      </c>
      <c r="K9" s="38" t="n">
        <f aca="false">I9*J9</f>
        <v>8.8</v>
      </c>
      <c r="L9" s="39" t="n">
        <f aca="false">Assumptions!$B$10*(1-Assumptions!$B$12)+Assumptions!$B$11*Assumptions!$B$12</f>
        <v>46.06</v>
      </c>
      <c r="M9" s="18" t="n">
        <f aca="false">K9*L9</f>
        <v>405.328</v>
      </c>
      <c r="N9" s="40" t="n">
        <f aca="false">((IF(A9&lt;=Assumptions!$B$91,Assumptions!$B$90,IF(A9&gt;=Assumptions!$B$92,1,Assumptions!$B$90+(1-Assumptions!$B$90)*(A9-Assumptions!$B$91)/(Assumptions!$B$92-Assumptions!$B$91))))*Assumptions!$B$81*Assumptions!$B$75+Assumptions!$B$82)*(1+Assumptions!$B$83)/12</f>
        <v>5430.55555555556</v>
      </c>
      <c r="O9" s="18" t="n">
        <f aca="false">M9*Assumptions!$B$33</f>
        <v>344.5288</v>
      </c>
      <c r="P9" s="18" t="n">
        <f aca="false">O9-N9</f>
        <v>-5086.02675555556</v>
      </c>
      <c r="Q9" s="1" t="str">
        <f aca="false">IF(A9&gt;=Assumptions!$B$45,A9-Assumptions!$B$45+1,"")</f>
        <v/>
      </c>
      <c r="R9" s="1" t="str">
        <f aca="false">IF(Q9="","Not yet launched",IF(Q9&lt;=6,"CP1: Launch",IF(Q9&lt;=18,"CP2: Scale",IF(Q9&lt;=36,"CP3: Mature","CP4: Steady"))))</f>
        <v>Not yet launched</v>
      </c>
      <c r="S9" s="41" t="n">
        <f aca="false">IF(Q9="",0,Assumptions!$B$46)</f>
        <v>0</v>
      </c>
      <c r="T9" s="42" t="n">
        <f aca="false">IF(Q9="",0,IF(Q9&lt;=6,Assumptions!$B$14,IF(Q9&lt;=18,Assumptions!$B$15,IF(Q9&lt;=36,Assumptions!$B$16,Assumptions!$B$17))))</f>
        <v>0</v>
      </c>
      <c r="U9" s="41" t="n">
        <f aca="false">IF(Q9="",0,IF(Q9=1,Assumptions!$B$65,ROUND(MAX(W8,1)*T9,0)))</f>
        <v>0</v>
      </c>
      <c r="V9" s="41" t="n">
        <f aca="false">IF(Q9="",0,ROUND(W8*Assumptions!$B$49,0))</f>
        <v>0</v>
      </c>
      <c r="W9" s="41" t="n">
        <f aca="false">IF(Q9="",0,MIN(W8+U9-V9,S9))</f>
        <v>0</v>
      </c>
      <c r="X9" s="42" t="n">
        <f aca="false">IF(Q9="",0,Assumptions!$B$54)</f>
        <v>0</v>
      </c>
      <c r="Y9" s="43" t="n">
        <f aca="false">W9*X9</f>
        <v>0</v>
      </c>
      <c r="Z9" s="44" t="n">
        <f aca="false">L9</f>
        <v>46.06</v>
      </c>
      <c r="AA9" s="45" t="n">
        <f aca="false">Y9*Z9</f>
        <v>0</v>
      </c>
      <c r="AB9" s="45" t="n">
        <f aca="false">IF(A9=Assumptions!$B$45,Assumptions!$B$47+Assumptions!$B$48,IF(A9&gt;Assumptions!$B$45,Assumptions!$B$47,0))</f>
        <v>0</v>
      </c>
      <c r="AC9" s="45" t="n">
        <f aca="false">AA9*Assumptions!$B$33</f>
        <v>0</v>
      </c>
      <c r="AD9" s="41" t="n">
        <f aca="false">I9+W9</f>
        <v>16</v>
      </c>
      <c r="AE9" s="45" t="n">
        <f aca="false">M9+AA9</f>
        <v>405.328</v>
      </c>
      <c r="AF9" s="45" t="n">
        <f aca="false">N9+AB9+AJ9+AK9+AL9+Assumptions!$B$68</f>
        <v>5602.69063445317</v>
      </c>
      <c r="AG9" s="45" t="n">
        <f aca="false">O9+AC9</f>
        <v>344.5288</v>
      </c>
      <c r="AH9" s="45" t="n">
        <f aca="false">AG9-AF9</f>
        <v>-5258.16183445317</v>
      </c>
      <c r="AI9" s="42" t="n">
        <f aca="false">IFERROR((AD9-AD8)/AD8,"")</f>
        <v>0.142857142857143</v>
      </c>
      <c r="AJ9" s="46" t="n">
        <f aca="false">MAX(Assumptions!$B$71,Assumptions!$B$69*0.5^(A9/Assumptions!$B$70))+Assumptions!$B$72*(K9+Y9)</f>
        <v>122.135078897615</v>
      </c>
      <c r="AK9" s="46" t="n">
        <f aca="false">IF(AND(Assumptions!$B$76=1,A9&gt;=Assumptions!$B$77),Assumptions!$B$78/12,0)</f>
        <v>0</v>
      </c>
      <c r="AL9" s="46" t="n">
        <f aca="false">IF(AND(Assumptions!$B$86=1,Q9&lt;&gt;""),Assumptions!$B$87/12,0)</f>
        <v>0</v>
      </c>
    </row>
    <row r="10" customFormat="false" ht="15" hidden="false" customHeight="true" outlineLevel="0" collapsed="false">
      <c r="A10" s="34" t="n">
        <v>9</v>
      </c>
      <c r="B10" s="8" t="s">
        <v>192</v>
      </c>
      <c r="C10" s="34" t="n">
        <f aca="false">IF(A10&lt;=12,1,IF(A10&lt;=24,2,IF(A10&lt;=36,3,4)))</f>
        <v>1</v>
      </c>
      <c r="D10" s="8" t="str">
        <f aca="false">IF(A10&lt;=6,"P1: Pilot-&gt;Seed",IF(A10&lt;=18,"P2: Scale/Series A",IF(A10&lt;=36,"P3: Post-Series A","P4: Maturity")))</f>
        <v>P2: Scale/Series A</v>
      </c>
      <c r="E10" s="35" t="n">
        <f aca="false">IF(C10=1,Assumptions!$B$5,IF(C10=2,Assumptions!$B$6,IF(C10=3,Assumptions!$B$7,Assumptions!$B$8)))</f>
        <v>1200</v>
      </c>
      <c r="F10" s="36" t="n">
        <f aca="false">IF(A10&lt;=6,Assumptions!$B$14,IF(A10&lt;=18,Assumptions!$B$15,IF(A10&lt;=36,Assumptions!$B$16,Assumptions!$B$17)))</f>
        <v>0.14</v>
      </c>
      <c r="G10" s="37" t="n">
        <f aca="false">ROUND(MAX(I9,1)*F10,0)</f>
        <v>2</v>
      </c>
      <c r="H10" s="37" t="n">
        <f aca="false">ROUND(I9*Assumptions!$B$18,0)</f>
        <v>0</v>
      </c>
      <c r="I10" s="37" t="n">
        <f aca="false">MIN(I9+G10-H10,E10)</f>
        <v>18</v>
      </c>
      <c r="J10" s="36" t="n">
        <f aca="false">Assumptions!$B$23</f>
        <v>0.85</v>
      </c>
      <c r="K10" s="38" t="n">
        <f aca="false">I10*J10</f>
        <v>15.3</v>
      </c>
      <c r="L10" s="39" t="n">
        <f aca="false">Assumptions!$B$10*(1-Assumptions!$B$12)+Assumptions!$B$11*Assumptions!$B$12</f>
        <v>46.06</v>
      </c>
      <c r="M10" s="18" t="n">
        <f aca="false">K10*L10</f>
        <v>704.718</v>
      </c>
      <c r="N10" s="40" t="n">
        <f aca="false">((IF(A10&lt;=Assumptions!$B$91,Assumptions!$B$90,IF(A10&gt;=Assumptions!$B$92,1,Assumptions!$B$90+(1-Assumptions!$B$90)*(A10-Assumptions!$B$91)/(Assumptions!$B$92-Assumptions!$B$91))))*Assumptions!$B$81*Assumptions!$B$75+Assumptions!$B$82)*(1+Assumptions!$B$83)/12</f>
        <v>7506.94444444444</v>
      </c>
      <c r="O10" s="18" t="n">
        <f aca="false">M10*Assumptions!$B$33</f>
        <v>599.0103</v>
      </c>
      <c r="P10" s="18" t="n">
        <f aca="false">O10-N10</f>
        <v>-6907.93414444444</v>
      </c>
      <c r="Q10" s="1" t="str">
        <f aca="false">IF(A10&gt;=Assumptions!$B$45,A10-Assumptions!$B$45+1,"")</f>
        <v/>
      </c>
      <c r="R10" s="1" t="str">
        <f aca="false">IF(Q10="","Not yet launched",IF(Q10&lt;=6,"CP1: Launch",IF(Q10&lt;=18,"CP2: Scale",IF(Q10&lt;=36,"CP3: Mature","CP4: Steady"))))</f>
        <v>Not yet launched</v>
      </c>
      <c r="S10" s="41" t="n">
        <f aca="false">IF(Q10="",0,Assumptions!$B$46)</f>
        <v>0</v>
      </c>
      <c r="T10" s="42" t="n">
        <f aca="false">IF(Q10="",0,IF(Q10&lt;=6,Assumptions!$B$14,IF(Q10&lt;=18,Assumptions!$B$15,IF(Q10&lt;=36,Assumptions!$B$16,Assumptions!$B$17))))</f>
        <v>0</v>
      </c>
      <c r="U10" s="41" t="n">
        <f aca="false">IF(Q10="",0,IF(Q10=1,Assumptions!$B$65,ROUND(MAX(W9,1)*T10,0)))</f>
        <v>0</v>
      </c>
      <c r="V10" s="41" t="n">
        <f aca="false">IF(Q10="",0,ROUND(W9*Assumptions!$B$49,0))</f>
        <v>0</v>
      </c>
      <c r="W10" s="41" t="n">
        <f aca="false">IF(Q10="",0,MIN(W9+U10-V10,S10))</f>
        <v>0</v>
      </c>
      <c r="X10" s="42" t="n">
        <f aca="false">IF(Q10="",0,Assumptions!$B$55)</f>
        <v>0</v>
      </c>
      <c r="Y10" s="43" t="n">
        <f aca="false">W10*X10</f>
        <v>0</v>
      </c>
      <c r="Z10" s="44" t="n">
        <f aca="false">L10</f>
        <v>46.06</v>
      </c>
      <c r="AA10" s="45" t="n">
        <f aca="false">Y10*Z10</f>
        <v>0</v>
      </c>
      <c r="AB10" s="45" t="n">
        <f aca="false">IF(A10=Assumptions!$B$45,Assumptions!$B$47+Assumptions!$B$48,IF(A10&gt;Assumptions!$B$45,Assumptions!$B$47,0))</f>
        <v>0</v>
      </c>
      <c r="AC10" s="45" t="n">
        <f aca="false">AA10*Assumptions!$B$33</f>
        <v>0</v>
      </c>
      <c r="AD10" s="41" t="n">
        <f aca="false">I10+W10</f>
        <v>18</v>
      </c>
      <c r="AE10" s="45" t="n">
        <f aca="false">M10+AA10</f>
        <v>704.718</v>
      </c>
      <c r="AF10" s="45" t="n">
        <f aca="false">N10+AB10+AJ10+AK10+AL10+Assumptions!$B$68</f>
        <v>7668.36546162243</v>
      </c>
      <c r="AG10" s="45" t="n">
        <f aca="false">O10+AC10</f>
        <v>599.0103</v>
      </c>
      <c r="AH10" s="45" t="n">
        <f aca="false">AG10-AF10</f>
        <v>-7069.35516162243</v>
      </c>
      <c r="AI10" s="42" t="n">
        <f aca="false">IFERROR((AD10-AD9)/AD9,"")</f>
        <v>0.125</v>
      </c>
      <c r="AJ10" s="46" t="n">
        <f aca="false">MAX(Assumptions!$B$71,Assumptions!$B$69*0.5^(A10/Assumptions!$B$70))+Assumptions!$B$72*(K10+Y10)</f>
        <v>111.421017177982</v>
      </c>
      <c r="AK10" s="46" t="n">
        <f aca="false">IF(AND(Assumptions!$B$76=1,A10&gt;=Assumptions!$B$77),Assumptions!$B$78/12,0)</f>
        <v>0</v>
      </c>
      <c r="AL10" s="46" t="n">
        <f aca="false">IF(AND(Assumptions!$B$86=1,Q10&lt;&gt;""),Assumptions!$B$87/12,0)</f>
        <v>0</v>
      </c>
    </row>
    <row r="11" customFormat="false" ht="15" hidden="false" customHeight="true" outlineLevel="0" collapsed="false">
      <c r="A11" s="34" t="n">
        <v>10</v>
      </c>
      <c r="B11" s="8" t="s">
        <v>193</v>
      </c>
      <c r="C11" s="34" t="n">
        <f aca="false">IF(A11&lt;=12,1,IF(A11&lt;=24,2,IF(A11&lt;=36,3,4)))</f>
        <v>1</v>
      </c>
      <c r="D11" s="8" t="str">
        <f aca="false">IF(A11&lt;=6,"P1: Pilot-&gt;Seed",IF(A11&lt;=18,"P2: Scale/Series A",IF(A11&lt;=36,"P3: Post-Series A","P4: Maturity")))</f>
        <v>P2: Scale/Series A</v>
      </c>
      <c r="E11" s="35" t="n">
        <f aca="false">IF(C11=1,Assumptions!$B$5,IF(C11=2,Assumptions!$B$6,IF(C11=3,Assumptions!$B$7,Assumptions!$B$8)))</f>
        <v>1200</v>
      </c>
      <c r="F11" s="36" t="n">
        <f aca="false">IF(A11&lt;=6,Assumptions!$B$14,IF(A11&lt;=18,Assumptions!$B$15,IF(A11&lt;=36,Assumptions!$B$16,Assumptions!$B$17)))</f>
        <v>0.14</v>
      </c>
      <c r="G11" s="37" t="n">
        <f aca="false">ROUND(MAX(I10,1)*F11,0)</f>
        <v>3</v>
      </c>
      <c r="H11" s="37" t="n">
        <f aca="false">ROUND(I10*Assumptions!$B$18,0)</f>
        <v>0</v>
      </c>
      <c r="I11" s="37" t="n">
        <f aca="false">MIN(I10+G11-H11,E11)</f>
        <v>21</v>
      </c>
      <c r="J11" s="36" t="n">
        <f aca="false">Assumptions!$B$24</f>
        <v>1</v>
      </c>
      <c r="K11" s="38" t="n">
        <f aca="false">I11*J11</f>
        <v>21</v>
      </c>
      <c r="L11" s="39" t="n">
        <f aca="false">Assumptions!$B$10*(1-Assumptions!$B$12)+Assumptions!$B$11*Assumptions!$B$12</f>
        <v>46.06</v>
      </c>
      <c r="M11" s="18" t="n">
        <f aca="false">K11*L11</f>
        <v>967.26</v>
      </c>
      <c r="N11" s="40" t="n">
        <f aca="false">((IF(A11&lt;=Assumptions!$B$91,Assumptions!$B$90,IF(A11&gt;=Assumptions!$B$92,1,Assumptions!$B$90+(1-Assumptions!$B$90)*(A11-Assumptions!$B$91)/(Assumptions!$B$92-Assumptions!$B$91))))*Assumptions!$B$81*Assumptions!$B$75+Assumptions!$B$82)*(1+Assumptions!$B$83)/12</f>
        <v>9583.33333333333</v>
      </c>
      <c r="O11" s="18" t="n">
        <f aca="false">M11*Assumptions!$B$33</f>
        <v>822.171</v>
      </c>
      <c r="P11" s="18" t="n">
        <f aca="false">O11-N11</f>
        <v>-8761.16233333333</v>
      </c>
      <c r="Q11" s="1" t="str">
        <f aca="false">IF(A11&gt;=Assumptions!$B$45,A11-Assumptions!$B$45+1,"")</f>
        <v/>
      </c>
      <c r="R11" s="1" t="str">
        <f aca="false">IF(Q11="","Not yet launched",IF(Q11&lt;=6,"CP1: Launch",IF(Q11&lt;=18,"CP2: Scale",IF(Q11&lt;=36,"CP3: Mature","CP4: Steady"))))</f>
        <v>Not yet launched</v>
      </c>
      <c r="S11" s="41" t="n">
        <f aca="false">IF(Q11="",0,Assumptions!$B$46)</f>
        <v>0</v>
      </c>
      <c r="T11" s="42" t="n">
        <f aca="false">IF(Q11="",0,IF(Q11&lt;=6,Assumptions!$B$14,IF(Q11&lt;=18,Assumptions!$B$15,IF(Q11&lt;=36,Assumptions!$B$16,Assumptions!$B$17))))</f>
        <v>0</v>
      </c>
      <c r="U11" s="41" t="n">
        <f aca="false">IF(Q11="",0,IF(Q11=1,Assumptions!$B$65,ROUND(MAX(W10,1)*T11,0)))</f>
        <v>0</v>
      </c>
      <c r="V11" s="41" t="n">
        <f aca="false">IF(Q11="",0,ROUND(W10*Assumptions!$B$49,0))</f>
        <v>0</v>
      </c>
      <c r="W11" s="41" t="n">
        <f aca="false">IF(Q11="",0,MIN(W10+U11-V11,S11))</f>
        <v>0</v>
      </c>
      <c r="X11" s="42" t="n">
        <f aca="false">IF(Q11="",0,Assumptions!$B$56)</f>
        <v>0</v>
      </c>
      <c r="Y11" s="43" t="n">
        <f aca="false">W11*X11</f>
        <v>0</v>
      </c>
      <c r="Z11" s="44" t="n">
        <f aca="false">L11</f>
        <v>46.06</v>
      </c>
      <c r="AA11" s="45" t="n">
        <f aca="false">Y11*Z11</f>
        <v>0</v>
      </c>
      <c r="AB11" s="45" t="n">
        <f aca="false">IF(A11=Assumptions!$B$45,Assumptions!$B$47+Assumptions!$B$48,IF(A11&gt;Assumptions!$B$45,Assumptions!$B$47,0))</f>
        <v>0</v>
      </c>
      <c r="AC11" s="45" t="n">
        <f aca="false">AA11*Assumptions!$B$33</f>
        <v>0</v>
      </c>
      <c r="AD11" s="41" t="n">
        <f aca="false">I11+W11</f>
        <v>21</v>
      </c>
      <c r="AE11" s="45" t="n">
        <f aca="false">M11+AA11</f>
        <v>967.26</v>
      </c>
      <c r="AF11" s="45" t="n">
        <f aca="false">N11+AB11+AJ11+AK11+AL11+Assumptions!$B$68</f>
        <v>9735.17741207545</v>
      </c>
      <c r="AG11" s="45" t="n">
        <f aca="false">O11+AC11</f>
        <v>822.171</v>
      </c>
      <c r="AH11" s="45" t="n">
        <f aca="false">AG11-AF11</f>
        <v>-8913.00641207545</v>
      </c>
      <c r="AI11" s="42" t="n">
        <f aca="false">IFERROR((AD11-AD10)/AD10,"")</f>
        <v>0.166666666666667</v>
      </c>
      <c r="AJ11" s="46" t="n">
        <f aca="false">MAX(Assumptions!$B$71,Assumptions!$B$69*0.5^(A11/Assumptions!$B$70))+Assumptions!$B$72*(K11+Y11)</f>
        <v>101.844078742115</v>
      </c>
      <c r="AK11" s="46" t="n">
        <f aca="false">IF(AND(Assumptions!$B$76=1,A11&gt;=Assumptions!$B$77),Assumptions!$B$78/12,0)</f>
        <v>0</v>
      </c>
      <c r="AL11" s="46" t="n">
        <f aca="false">IF(AND(Assumptions!$B$86=1,Q11&lt;&gt;""),Assumptions!$B$87/12,0)</f>
        <v>0</v>
      </c>
    </row>
    <row r="12" customFormat="false" ht="15" hidden="false" customHeight="true" outlineLevel="0" collapsed="false">
      <c r="A12" s="34" t="n">
        <v>11</v>
      </c>
      <c r="B12" s="8" t="s">
        <v>194</v>
      </c>
      <c r="C12" s="34" t="n">
        <f aca="false">IF(A12&lt;=12,1,IF(A12&lt;=24,2,IF(A12&lt;=36,3,4)))</f>
        <v>1</v>
      </c>
      <c r="D12" s="8" t="str">
        <f aca="false">IF(A12&lt;=6,"P1: Pilot-&gt;Seed",IF(A12&lt;=18,"P2: Scale/Series A",IF(A12&lt;=36,"P3: Post-Series A","P4: Maturity")))</f>
        <v>P2: Scale/Series A</v>
      </c>
      <c r="E12" s="35" t="n">
        <f aca="false">IF(C12=1,Assumptions!$B$5,IF(C12=2,Assumptions!$B$6,IF(C12=3,Assumptions!$B$7,Assumptions!$B$8)))</f>
        <v>1200</v>
      </c>
      <c r="F12" s="36" t="n">
        <f aca="false">IF(A12&lt;=6,Assumptions!$B$14,IF(A12&lt;=18,Assumptions!$B$15,IF(A12&lt;=36,Assumptions!$B$16,Assumptions!$B$17)))</f>
        <v>0.14</v>
      </c>
      <c r="G12" s="37" t="n">
        <f aca="false">ROUND(MAX(I11,1)*F12,0)</f>
        <v>3</v>
      </c>
      <c r="H12" s="37" t="n">
        <f aca="false">ROUND(I11*Assumptions!$B$18,0)</f>
        <v>0</v>
      </c>
      <c r="I12" s="37" t="n">
        <f aca="false">MIN(I11+G12-H12,E12)</f>
        <v>24</v>
      </c>
      <c r="J12" s="36" t="n">
        <f aca="false">Assumptions!$B$25</f>
        <v>1</v>
      </c>
      <c r="K12" s="38" t="n">
        <f aca="false">I12*J12</f>
        <v>24</v>
      </c>
      <c r="L12" s="39" t="n">
        <f aca="false">Assumptions!$B$10*(1-Assumptions!$B$12)+Assumptions!$B$11*Assumptions!$B$12</f>
        <v>46.06</v>
      </c>
      <c r="M12" s="18" t="n">
        <f aca="false">K12*L12</f>
        <v>1105.44</v>
      </c>
      <c r="N12" s="40" t="n">
        <f aca="false">((IF(A12&lt;=Assumptions!$B$91,Assumptions!$B$90,IF(A12&gt;=Assumptions!$B$92,1,Assumptions!$B$90+(1-Assumptions!$B$90)*(A12-Assumptions!$B$91)/(Assumptions!$B$92-Assumptions!$B$91))))*Assumptions!$B$81*Assumptions!$B$75+Assumptions!$B$82)*(1+Assumptions!$B$83)/12</f>
        <v>11659.7222222222</v>
      </c>
      <c r="O12" s="18" t="n">
        <f aca="false">M12*Assumptions!$B$33</f>
        <v>939.624</v>
      </c>
      <c r="P12" s="18" t="n">
        <f aca="false">O12-N12</f>
        <v>-10720.0982222222</v>
      </c>
      <c r="Q12" s="1" t="str">
        <f aca="false">IF(A12&gt;=Assumptions!$B$45,A12-Assumptions!$B$45+1,"")</f>
        <v/>
      </c>
      <c r="R12" s="1" t="str">
        <f aca="false">IF(Q12="","Not yet launched",IF(Q12&lt;=6,"CP1: Launch",IF(Q12&lt;=18,"CP2: Scale",IF(Q12&lt;=36,"CP3: Mature","CP4: Steady"))))</f>
        <v>Not yet launched</v>
      </c>
      <c r="S12" s="41" t="n">
        <f aca="false">IF(Q12="",0,Assumptions!$B$46)</f>
        <v>0</v>
      </c>
      <c r="T12" s="42" t="n">
        <f aca="false">IF(Q12="",0,IF(Q12&lt;=6,Assumptions!$B$14,IF(Q12&lt;=18,Assumptions!$B$15,IF(Q12&lt;=36,Assumptions!$B$16,Assumptions!$B$17))))</f>
        <v>0</v>
      </c>
      <c r="U12" s="41" t="n">
        <f aca="false">IF(Q12="",0,IF(Q12=1,Assumptions!$B$65,ROUND(MAX(W11,1)*T12,0)))</f>
        <v>0</v>
      </c>
      <c r="V12" s="41" t="n">
        <f aca="false">IF(Q12="",0,ROUND(W11*Assumptions!$B$49,0))</f>
        <v>0</v>
      </c>
      <c r="W12" s="41" t="n">
        <f aca="false">IF(Q12="",0,MIN(W11+U12-V12,S12))</f>
        <v>0</v>
      </c>
      <c r="X12" s="42" t="n">
        <f aca="false">IF(Q12="",0,Assumptions!$B$57)</f>
        <v>0</v>
      </c>
      <c r="Y12" s="43" t="n">
        <f aca="false">W12*X12</f>
        <v>0</v>
      </c>
      <c r="Z12" s="44" t="n">
        <f aca="false">L12</f>
        <v>46.06</v>
      </c>
      <c r="AA12" s="45" t="n">
        <f aca="false">Y12*Z12</f>
        <v>0</v>
      </c>
      <c r="AB12" s="45" t="n">
        <f aca="false">IF(A12=Assumptions!$B$45,Assumptions!$B$47+Assumptions!$B$48,IF(A12&gt;Assumptions!$B$45,Assumptions!$B$47,0))</f>
        <v>0</v>
      </c>
      <c r="AC12" s="45" t="n">
        <f aca="false">AA12*Assumptions!$B$33</f>
        <v>0</v>
      </c>
      <c r="AD12" s="41" t="n">
        <f aca="false">I12+W12</f>
        <v>24</v>
      </c>
      <c r="AE12" s="45" t="n">
        <f aca="false">M12+AA12</f>
        <v>1105.44</v>
      </c>
      <c r="AF12" s="45" t="n">
        <f aca="false">N12+AB12+AJ12+AK12+AL12+Assumptions!$B$68</f>
        <v>11802.3068758454</v>
      </c>
      <c r="AG12" s="45" t="n">
        <f aca="false">O12+AC12</f>
        <v>939.624</v>
      </c>
      <c r="AH12" s="45" t="n">
        <f aca="false">AG12-AF12</f>
        <v>-10862.6828758454</v>
      </c>
      <c r="AI12" s="42" t="n">
        <f aca="false">IFERROR((AD12-AD11)/AD11,"")</f>
        <v>0.142857142857143</v>
      </c>
      <c r="AJ12" s="46" t="n">
        <f aca="false">MAX(Assumptions!$B$71,Assumptions!$B$69*0.5^(A12/Assumptions!$B$70))+Assumptions!$B$72*(K12+Y12)</f>
        <v>92.584653623203</v>
      </c>
      <c r="AK12" s="46" t="n">
        <f aca="false">IF(AND(Assumptions!$B$76=1,A12&gt;=Assumptions!$B$77),Assumptions!$B$78/12,0)</f>
        <v>0</v>
      </c>
      <c r="AL12" s="46" t="n">
        <f aca="false">IF(AND(Assumptions!$B$86=1,Q12&lt;&gt;""),Assumptions!$B$87/12,0)</f>
        <v>0</v>
      </c>
    </row>
    <row r="13" customFormat="false" ht="15" hidden="false" customHeight="true" outlineLevel="0" collapsed="false">
      <c r="A13" s="34" t="n">
        <v>12</v>
      </c>
      <c r="B13" s="8" t="s">
        <v>195</v>
      </c>
      <c r="C13" s="34" t="n">
        <f aca="false">IF(A13&lt;=12,1,IF(A13&lt;=24,2,IF(A13&lt;=36,3,4)))</f>
        <v>1</v>
      </c>
      <c r="D13" s="8" t="str">
        <f aca="false">IF(A13&lt;=6,"P1: Pilot-&gt;Seed",IF(A13&lt;=18,"P2: Scale/Series A",IF(A13&lt;=36,"P3: Post-Series A","P4: Maturity")))</f>
        <v>P2: Scale/Series A</v>
      </c>
      <c r="E13" s="35" t="n">
        <f aca="false">IF(C13=1,Assumptions!$B$5,IF(C13=2,Assumptions!$B$6,IF(C13=3,Assumptions!$B$7,Assumptions!$B$8)))</f>
        <v>1200</v>
      </c>
      <c r="F13" s="36" t="n">
        <f aca="false">IF(A13&lt;=6,Assumptions!$B$14,IF(A13&lt;=18,Assumptions!$B$15,IF(A13&lt;=36,Assumptions!$B$16,Assumptions!$B$17)))</f>
        <v>0.14</v>
      </c>
      <c r="G13" s="37" t="n">
        <f aca="false">ROUND(MAX(I12,1)*F13,0)</f>
        <v>3</v>
      </c>
      <c r="H13" s="37" t="n">
        <f aca="false">ROUND(I12*Assumptions!$B$18,0)</f>
        <v>0</v>
      </c>
      <c r="I13" s="37" t="n">
        <f aca="false">MIN(I12+G13-H13,E13)</f>
        <v>27</v>
      </c>
      <c r="J13" s="36" t="n">
        <f aca="false">Assumptions!$B$26</f>
        <v>1</v>
      </c>
      <c r="K13" s="38" t="n">
        <f aca="false">I13*J13</f>
        <v>27</v>
      </c>
      <c r="L13" s="39" t="n">
        <f aca="false">Assumptions!$B$10*(1-Assumptions!$B$12)+Assumptions!$B$11*Assumptions!$B$12</f>
        <v>46.06</v>
      </c>
      <c r="M13" s="18" t="n">
        <f aca="false">K13*L13</f>
        <v>1243.62</v>
      </c>
      <c r="N13" s="40" t="n">
        <f aca="false">((IF(A13&lt;=Assumptions!$B$91,Assumptions!$B$90,IF(A13&gt;=Assumptions!$B$92,1,Assumptions!$B$90+(1-Assumptions!$B$90)*(A13-Assumptions!$B$91)/(Assumptions!$B$92-Assumptions!$B$91))))*Assumptions!$B$81*Assumptions!$B$75+Assumptions!$B$82)*(1+Assumptions!$B$83)/12</f>
        <v>13736.1111111111</v>
      </c>
      <c r="O13" s="18" t="n">
        <f aca="false">M13*Assumptions!$B$33</f>
        <v>1057.077</v>
      </c>
      <c r="P13" s="18" t="n">
        <f aca="false">O13-N13</f>
        <v>-12679.0341111111</v>
      </c>
      <c r="Q13" s="1" t="str">
        <f aca="false">IF(A13&gt;=Assumptions!$B$45,A13-Assumptions!$B$45+1,"")</f>
        <v/>
      </c>
      <c r="R13" s="1" t="str">
        <f aca="false">IF(Q13="","Not yet launched",IF(Q13&lt;=6,"CP1: Launch",IF(Q13&lt;=18,"CP2: Scale",IF(Q13&lt;=36,"CP3: Mature","CP4: Steady"))))</f>
        <v>Not yet launched</v>
      </c>
      <c r="S13" s="41" t="n">
        <f aca="false">IF(Q13="",0,Assumptions!$B$46)</f>
        <v>0</v>
      </c>
      <c r="T13" s="42" t="n">
        <f aca="false">IF(Q13="",0,IF(Q13&lt;=6,Assumptions!$B$14,IF(Q13&lt;=18,Assumptions!$B$15,IF(Q13&lt;=36,Assumptions!$B$16,Assumptions!$B$17))))</f>
        <v>0</v>
      </c>
      <c r="U13" s="41" t="n">
        <f aca="false">IF(Q13="",0,IF(Q13=1,Assumptions!$B$65,ROUND(MAX(W12,1)*T13,0)))</f>
        <v>0</v>
      </c>
      <c r="V13" s="41" t="n">
        <f aca="false">IF(Q13="",0,ROUND(W12*Assumptions!$B$49,0))</f>
        <v>0</v>
      </c>
      <c r="W13" s="41" t="n">
        <f aca="false">IF(Q13="",0,MIN(W12+U13-V13,S13))</f>
        <v>0</v>
      </c>
      <c r="X13" s="42" t="n">
        <f aca="false">IF(Q13="",0,Assumptions!$B$58)</f>
        <v>0</v>
      </c>
      <c r="Y13" s="43" t="n">
        <f aca="false">W13*X13</f>
        <v>0</v>
      </c>
      <c r="Z13" s="44" t="n">
        <f aca="false">L13</f>
        <v>46.06</v>
      </c>
      <c r="AA13" s="45" t="n">
        <f aca="false">Y13*Z13</f>
        <v>0</v>
      </c>
      <c r="AB13" s="45" t="n">
        <f aca="false">IF(A13=Assumptions!$B$45,Assumptions!$B$47+Assumptions!$B$48,IF(A13&gt;Assumptions!$B$45,Assumptions!$B$47,0))</f>
        <v>0</v>
      </c>
      <c r="AC13" s="45" t="n">
        <f aca="false">AA13*Assumptions!$B$33</f>
        <v>0</v>
      </c>
      <c r="AD13" s="41" t="n">
        <f aca="false">I13+W13</f>
        <v>27</v>
      </c>
      <c r="AE13" s="45" t="n">
        <f aca="false">M13+AA13</f>
        <v>1243.62</v>
      </c>
      <c r="AF13" s="45" t="n">
        <f aca="false">N13+AB13+AJ13+AK13+AL13+Assumptions!$B$68</f>
        <v>13870.5611111111</v>
      </c>
      <c r="AG13" s="45" t="n">
        <f aca="false">O13+AC13</f>
        <v>1057.077</v>
      </c>
      <c r="AH13" s="45" t="n">
        <f aca="false">AG13-AF13</f>
        <v>-12813.4841111111</v>
      </c>
      <c r="AI13" s="42" t="n">
        <f aca="false">IFERROR((AD13-AD12)/AD12,"")</f>
        <v>0.125</v>
      </c>
      <c r="AJ13" s="46" t="n">
        <f aca="false">MAX(Assumptions!$B$71,Assumptions!$B$69*0.5^(A13/Assumptions!$B$70))+Assumptions!$B$72*(K13+Y13)</f>
        <v>84.45</v>
      </c>
      <c r="AK13" s="46" t="n">
        <f aca="false">IF(AND(Assumptions!$B$76=1,A13&gt;=Assumptions!$B$77),Assumptions!$B$78/12,0)</f>
        <v>0</v>
      </c>
      <c r="AL13" s="46" t="n">
        <f aca="false">IF(AND(Assumptions!$B$86=1,Q13&lt;&gt;""),Assumptions!$B$87/12,0)</f>
        <v>0</v>
      </c>
    </row>
    <row r="14" customFormat="false" ht="15" hidden="false" customHeight="true" outlineLevel="0" collapsed="false">
      <c r="A14" s="34" t="n">
        <v>13</v>
      </c>
      <c r="B14" s="8" t="s">
        <v>196</v>
      </c>
      <c r="C14" s="34" t="n">
        <f aca="false">IF(A14&lt;=12,1,IF(A14&lt;=24,2,IF(A14&lt;=36,3,4)))</f>
        <v>2</v>
      </c>
      <c r="D14" s="8" t="str">
        <f aca="false">IF(A14&lt;=6,"P1: Pilot-&gt;Seed",IF(A14&lt;=18,"P2: Scale/Series A",IF(A14&lt;=36,"P3: Post-Series A","P4: Maturity")))</f>
        <v>P2: Scale/Series A</v>
      </c>
      <c r="E14" s="35" t="n">
        <f aca="false">IF(C14=1,Assumptions!$B$5,IF(C14=2,Assumptions!$B$6,IF(C14=3,Assumptions!$B$7,Assumptions!$B$8)))</f>
        <v>4500</v>
      </c>
      <c r="F14" s="36" t="n">
        <f aca="false">IF(A14&lt;=6,Assumptions!$B$14,IF(A14&lt;=18,Assumptions!$B$15,IF(A14&lt;=36,Assumptions!$B$16,Assumptions!$B$17)))</f>
        <v>0.14</v>
      </c>
      <c r="G14" s="37" t="n">
        <f aca="false">ROUND(MAX(I13,1)*F14,0)</f>
        <v>4</v>
      </c>
      <c r="H14" s="37" t="n">
        <f aca="false">ROUND(I13*Assumptions!$B$18,0)</f>
        <v>1</v>
      </c>
      <c r="I14" s="37" t="n">
        <f aca="false">MIN(I13+G14-H14,E14)</f>
        <v>30</v>
      </c>
      <c r="J14" s="36" t="n">
        <f aca="false">Assumptions!$B$27</f>
        <v>1</v>
      </c>
      <c r="K14" s="38" t="n">
        <f aca="false">I14*J14</f>
        <v>30</v>
      </c>
      <c r="L14" s="39" t="n">
        <f aca="false">Assumptions!$B$10*(1-Assumptions!$B$12)+Assumptions!$B$11*Assumptions!$B$12</f>
        <v>46.06</v>
      </c>
      <c r="M14" s="18" t="n">
        <f aca="false">K14*L14</f>
        <v>1381.8</v>
      </c>
      <c r="N14" s="40" t="n">
        <f aca="false">((IF(A14&lt;=Assumptions!$B$91,Assumptions!$B$90,IF(A14&gt;=Assumptions!$B$92,1,Assumptions!$B$90+(1-Assumptions!$B$90)*(A14-Assumptions!$B$91)/(Assumptions!$B$92-Assumptions!$B$91))))*Assumptions!$B$81*Assumptions!$B$75+Assumptions!$B$82)*(1+Assumptions!$B$83)/12</f>
        <v>15812.5</v>
      </c>
      <c r="O14" s="18" t="n">
        <f aca="false">M14*Assumptions!$B$33</f>
        <v>1174.53</v>
      </c>
      <c r="P14" s="18" t="n">
        <f aca="false">O14-N14</f>
        <v>-14637.97</v>
      </c>
      <c r="Q14" s="1" t="n">
        <f aca="false">IF(A14&gt;=Assumptions!$B$45,A14-Assumptions!$B$45+1,"")</f>
        <v>1</v>
      </c>
      <c r="R14" s="1" t="str">
        <f aca="false">IF(Q14="","Not yet launched",IF(Q14&lt;=6,"CP1: Launch",IF(Q14&lt;=18,"CP2: Scale",IF(Q14&lt;=36,"CP3: Mature","CP4: Steady"))))</f>
        <v>CP1: Launch</v>
      </c>
      <c r="S14" s="41" t="n">
        <f aca="false">IF(Q14="",0,Assumptions!$B$46)</f>
        <v>2000</v>
      </c>
      <c r="T14" s="42" t="n">
        <f aca="false">IF(Q14="",0,IF(Q14&lt;=6,Assumptions!$B$14,IF(Q14&lt;=18,Assumptions!$B$15,IF(Q14&lt;=36,Assumptions!$B$16,Assumptions!$B$17))))</f>
        <v>0.35</v>
      </c>
      <c r="U14" s="41" t="n">
        <f aca="false">IF(Q14="",0,IF(Q14=1,Assumptions!$B$65,ROUND(MAX(W13,1)*T14,0)))</f>
        <v>2</v>
      </c>
      <c r="V14" s="41" t="n">
        <f aca="false">IF(Q14="",0,ROUND(W13*Assumptions!$B$49,0))</f>
        <v>0</v>
      </c>
      <c r="W14" s="41" t="n">
        <f aca="false">IF(Q14="",0,MIN(W13+U14-V14,S14))</f>
        <v>2</v>
      </c>
      <c r="X14" s="42" t="n">
        <f aca="false">IF(Q14="",0,Assumptions!$B$59)</f>
        <v>0.35</v>
      </c>
      <c r="Y14" s="43" t="n">
        <f aca="false">W14*X14</f>
        <v>0.7</v>
      </c>
      <c r="Z14" s="44" t="n">
        <f aca="false">L14</f>
        <v>46.06</v>
      </c>
      <c r="AA14" s="45" t="n">
        <f aca="false">Y14*Z14</f>
        <v>32.242</v>
      </c>
      <c r="AB14" s="45" t="n">
        <f aca="false">IF(A14=Assumptions!$B$45,Assumptions!$B$47+Assumptions!$B$48,IF(A14&gt;Assumptions!$B$45,Assumptions!$B$47,0))</f>
        <v>40050</v>
      </c>
      <c r="AC14" s="45" t="n">
        <f aca="false">AA14*Assumptions!$B$33</f>
        <v>27.4057</v>
      </c>
      <c r="AD14" s="41" t="n">
        <f aca="false">I14+W14</f>
        <v>32</v>
      </c>
      <c r="AE14" s="45" t="n">
        <f aca="false">M14+AA14</f>
        <v>1414.042</v>
      </c>
      <c r="AF14" s="45" t="n">
        <f aca="false">N14+AB14+AJ14+AK14+AL14+Assumptions!$B$68</f>
        <v>60581.5783333333</v>
      </c>
      <c r="AG14" s="45" t="n">
        <f aca="false">O14+AC14</f>
        <v>1201.9357</v>
      </c>
      <c r="AH14" s="45" t="n">
        <f aca="false">AG14-AF14</f>
        <v>-59379.6426333333</v>
      </c>
      <c r="AI14" s="42" t="n">
        <f aca="false">IFERROR((AD14-AD13)/AD13,"")</f>
        <v>0.185185185185185</v>
      </c>
      <c r="AJ14" s="46" t="n">
        <f aca="false">MAX(Assumptions!$B$71,Assumptions!$B$69*0.5^(A14/Assumptions!$B$70))+Assumptions!$B$72*(K14+Y14)</f>
        <v>85.745</v>
      </c>
      <c r="AK14" s="46" t="n">
        <f aca="false">IF(AND(Assumptions!$B$76=1,A14&gt;=Assumptions!$B$77),Assumptions!$B$78/12,0)</f>
        <v>4583.33333333333</v>
      </c>
      <c r="AL14" s="46" t="n">
        <f aca="false">IF(AND(Assumptions!$B$86=1,Q14&lt;&gt;""),Assumptions!$B$87/12,0)</f>
        <v>0</v>
      </c>
    </row>
    <row r="15" customFormat="false" ht="15" hidden="false" customHeight="true" outlineLevel="0" collapsed="false">
      <c r="A15" s="34" t="n">
        <v>14</v>
      </c>
      <c r="B15" s="8" t="s">
        <v>197</v>
      </c>
      <c r="C15" s="34" t="n">
        <f aca="false">IF(A15&lt;=12,1,IF(A15&lt;=24,2,IF(A15&lt;=36,3,4)))</f>
        <v>2</v>
      </c>
      <c r="D15" s="8" t="str">
        <f aca="false">IF(A15&lt;=6,"P1: Pilot-&gt;Seed",IF(A15&lt;=18,"P2: Scale/Series A",IF(A15&lt;=36,"P3: Post-Series A","P4: Maturity")))</f>
        <v>P2: Scale/Series A</v>
      </c>
      <c r="E15" s="35" t="n">
        <f aca="false">IF(C15=1,Assumptions!$B$5,IF(C15=2,Assumptions!$B$6,IF(C15=3,Assumptions!$B$7,Assumptions!$B$8)))</f>
        <v>4500</v>
      </c>
      <c r="F15" s="36" t="n">
        <f aca="false">IF(A15&lt;=6,Assumptions!$B$14,IF(A15&lt;=18,Assumptions!$B$15,IF(A15&lt;=36,Assumptions!$B$16,Assumptions!$B$17)))</f>
        <v>0.14</v>
      </c>
      <c r="G15" s="37" t="n">
        <f aca="false">ROUND(MAX(I14,1)*F15,0)</f>
        <v>4</v>
      </c>
      <c r="H15" s="37" t="n">
        <f aca="false">ROUND(I14*Assumptions!$B$18,0)</f>
        <v>1</v>
      </c>
      <c r="I15" s="37" t="n">
        <f aca="false">MIN(I14+G15-H15,E15)</f>
        <v>33</v>
      </c>
      <c r="J15" s="36" t="n">
        <f aca="false">Assumptions!$B$28</f>
        <v>1</v>
      </c>
      <c r="K15" s="38" t="n">
        <f aca="false">I15*J15</f>
        <v>33</v>
      </c>
      <c r="L15" s="39" t="n">
        <f aca="false">Assumptions!$B$10*(1-Assumptions!$B$12)+Assumptions!$B$11*Assumptions!$B$12</f>
        <v>46.06</v>
      </c>
      <c r="M15" s="18" t="n">
        <f aca="false">K15*L15</f>
        <v>1519.98</v>
      </c>
      <c r="N15" s="40" t="n">
        <f aca="false">((IF(A15&lt;=Assumptions!$B$91,Assumptions!$B$90,IF(A15&gt;=Assumptions!$B$92,1,Assumptions!$B$90+(1-Assumptions!$B$90)*(A15-Assumptions!$B$91)/(Assumptions!$B$92-Assumptions!$B$91))))*Assumptions!$B$81*Assumptions!$B$75+Assumptions!$B$82)*(1+Assumptions!$B$83)/12</f>
        <v>17888.8888888889</v>
      </c>
      <c r="O15" s="18" t="n">
        <f aca="false">M15*Assumptions!$B$33</f>
        <v>1291.983</v>
      </c>
      <c r="P15" s="18" t="n">
        <f aca="false">O15-N15</f>
        <v>-16596.9058888889</v>
      </c>
      <c r="Q15" s="1" t="n">
        <f aca="false">IF(A15&gt;=Assumptions!$B$45,A15-Assumptions!$B$45+1,"")</f>
        <v>2</v>
      </c>
      <c r="R15" s="1" t="str">
        <f aca="false">IF(Q15="","Not yet launched",IF(Q15&lt;=6,"CP1: Launch",IF(Q15&lt;=18,"CP2: Scale",IF(Q15&lt;=36,"CP3: Mature","CP4: Steady"))))</f>
        <v>CP1: Launch</v>
      </c>
      <c r="S15" s="41" t="n">
        <f aca="false">IF(Q15="",0,Assumptions!$B$46)</f>
        <v>2000</v>
      </c>
      <c r="T15" s="42" t="n">
        <f aca="false">IF(Q15="",0,IF(Q15&lt;=6,Assumptions!$B$14,IF(Q15&lt;=18,Assumptions!$B$15,IF(Q15&lt;=36,Assumptions!$B$16,Assumptions!$B$17))))</f>
        <v>0.35</v>
      </c>
      <c r="U15" s="41" t="n">
        <f aca="false">IF(Q15="",0,IF(Q15=1,Assumptions!$B$65,ROUND(MAX(W14,1)*T15,0)))</f>
        <v>1</v>
      </c>
      <c r="V15" s="41" t="n">
        <f aca="false">IF(Q15="",0,ROUND(W14*Assumptions!$B$49,0))</f>
        <v>0</v>
      </c>
      <c r="W15" s="41" t="n">
        <f aca="false">IF(Q15="",0,MIN(W14+U15-V15,S15))</f>
        <v>3</v>
      </c>
      <c r="X15" s="42" t="n">
        <f aca="false">IF(Q15="",0,Assumptions!$B$60)</f>
        <v>0.35</v>
      </c>
      <c r="Y15" s="43" t="n">
        <f aca="false">W15*X15</f>
        <v>1.05</v>
      </c>
      <c r="Z15" s="44" t="n">
        <f aca="false">L15</f>
        <v>46.06</v>
      </c>
      <c r="AA15" s="45" t="n">
        <f aca="false">Y15*Z15</f>
        <v>48.363</v>
      </c>
      <c r="AB15" s="45" t="n">
        <f aca="false">IF(A15=Assumptions!$B$45,Assumptions!$B$47+Assumptions!$B$48,IF(A15&gt;Assumptions!$B$45,Assumptions!$B$47,0))</f>
        <v>50</v>
      </c>
      <c r="AC15" s="45" t="n">
        <f aca="false">AA15*Assumptions!$B$33</f>
        <v>41.10855</v>
      </c>
      <c r="AD15" s="41" t="n">
        <f aca="false">I15+W15</f>
        <v>36</v>
      </c>
      <c r="AE15" s="45" t="n">
        <f aca="false">M15+AA15</f>
        <v>1568.343</v>
      </c>
      <c r="AF15" s="45" t="n">
        <f aca="false">N15+AB15+AJ15+AK15+AL15+Assumptions!$B$68</f>
        <v>22659.1397222222</v>
      </c>
      <c r="AG15" s="45" t="n">
        <f aca="false">O15+AC15</f>
        <v>1333.09155</v>
      </c>
      <c r="AH15" s="45" t="n">
        <f aca="false">AG15-AF15</f>
        <v>-21326.0481722222</v>
      </c>
      <c r="AI15" s="42" t="n">
        <f aca="false">IFERROR((AD15-AD14)/AD14,"")</f>
        <v>0.125</v>
      </c>
      <c r="AJ15" s="46" t="n">
        <f aca="false">MAX(Assumptions!$B$71,Assumptions!$B$69*0.5^(A15/Assumptions!$B$70))+Assumptions!$B$72*(K15+Y15)</f>
        <v>86.9175</v>
      </c>
      <c r="AK15" s="46" t="n">
        <f aca="false">IF(AND(Assumptions!$B$76=1,A15&gt;=Assumptions!$B$77),Assumptions!$B$78/12,0)</f>
        <v>4583.33333333333</v>
      </c>
      <c r="AL15" s="46" t="n">
        <f aca="false">IF(AND(Assumptions!$B$86=1,Q15&lt;&gt;""),Assumptions!$B$87/12,0)</f>
        <v>0</v>
      </c>
    </row>
    <row r="16" customFormat="false" ht="15" hidden="false" customHeight="true" outlineLevel="0" collapsed="false">
      <c r="A16" s="34" t="n">
        <v>15</v>
      </c>
      <c r="B16" s="8" t="s">
        <v>198</v>
      </c>
      <c r="C16" s="34" t="n">
        <f aca="false">IF(A16&lt;=12,1,IF(A16&lt;=24,2,IF(A16&lt;=36,3,4)))</f>
        <v>2</v>
      </c>
      <c r="D16" s="8" t="str">
        <f aca="false">IF(A16&lt;=6,"P1: Pilot-&gt;Seed",IF(A16&lt;=18,"P2: Scale/Series A",IF(A16&lt;=36,"P3: Post-Series A","P4: Maturity")))</f>
        <v>P2: Scale/Series A</v>
      </c>
      <c r="E16" s="35" t="n">
        <f aca="false">IF(C16=1,Assumptions!$B$5,IF(C16=2,Assumptions!$B$6,IF(C16=3,Assumptions!$B$7,Assumptions!$B$8)))</f>
        <v>4500</v>
      </c>
      <c r="F16" s="36" t="n">
        <f aca="false">IF(A16&lt;=6,Assumptions!$B$14,IF(A16&lt;=18,Assumptions!$B$15,IF(A16&lt;=36,Assumptions!$B$16,Assumptions!$B$17)))</f>
        <v>0.14</v>
      </c>
      <c r="G16" s="37" t="n">
        <f aca="false">ROUND(MAX(I15,1)*F16,0)</f>
        <v>5</v>
      </c>
      <c r="H16" s="37" t="n">
        <f aca="false">ROUND(I15*Assumptions!$B$18,0)</f>
        <v>1</v>
      </c>
      <c r="I16" s="37" t="n">
        <f aca="false">MIN(I15+G16-H16,E16)</f>
        <v>37</v>
      </c>
      <c r="J16" s="36" t="n">
        <f aca="false">Assumptions!$B$29</f>
        <v>0.85</v>
      </c>
      <c r="K16" s="38" t="n">
        <f aca="false">I16*J16</f>
        <v>31.45</v>
      </c>
      <c r="L16" s="39" t="n">
        <f aca="false">Assumptions!$B$10*(1-Assumptions!$B$12)+Assumptions!$B$11*Assumptions!$B$12</f>
        <v>46.06</v>
      </c>
      <c r="M16" s="18" t="n">
        <f aca="false">K16*L16</f>
        <v>1448.587</v>
      </c>
      <c r="N16" s="40" t="n">
        <f aca="false">((IF(A16&lt;=Assumptions!$B$91,Assumptions!$B$90,IF(A16&gt;=Assumptions!$B$92,1,Assumptions!$B$90+(1-Assumptions!$B$90)*(A16-Assumptions!$B$91)/(Assumptions!$B$92-Assumptions!$B$91))))*Assumptions!$B$81*Assumptions!$B$75+Assumptions!$B$82)*(1+Assumptions!$B$83)/12</f>
        <v>19965.2777777778</v>
      </c>
      <c r="O16" s="18" t="n">
        <f aca="false">M16*Assumptions!$B$33</f>
        <v>1231.29895</v>
      </c>
      <c r="P16" s="18" t="n">
        <f aca="false">O16-N16</f>
        <v>-18733.9788277778</v>
      </c>
      <c r="Q16" s="1" t="n">
        <f aca="false">IF(A16&gt;=Assumptions!$B$45,A16-Assumptions!$B$45+1,"")</f>
        <v>3</v>
      </c>
      <c r="R16" s="1" t="str">
        <f aca="false">IF(Q16="","Not yet launched",IF(Q16&lt;=6,"CP1: Launch",IF(Q16&lt;=18,"CP2: Scale",IF(Q16&lt;=36,"CP3: Mature","CP4: Steady"))))</f>
        <v>CP1: Launch</v>
      </c>
      <c r="S16" s="41" t="n">
        <f aca="false">IF(Q16="",0,Assumptions!$B$46)</f>
        <v>2000</v>
      </c>
      <c r="T16" s="42" t="n">
        <f aca="false">IF(Q16="",0,IF(Q16&lt;=6,Assumptions!$B$14,IF(Q16&lt;=18,Assumptions!$B$15,IF(Q16&lt;=36,Assumptions!$B$16,Assumptions!$B$17))))</f>
        <v>0.35</v>
      </c>
      <c r="U16" s="41" t="n">
        <f aca="false">IF(Q16="",0,IF(Q16=1,Assumptions!$B$65,ROUND(MAX(W15,1)*T16,0)))</f>
        <v>1</v>
      </c>
      <c r="V16" s="41" t="n">
        <f aca="false">IF(Q16="",0,ROUND(W15*Assumptions!$B$49,0))</f>
        <v>0</v>
      </c>
      <c r="W16" s="41" t="n">
        <f aca="false">IF(Q16="",0,MIN(W15+U16-V16,S16))</f>
        <v>4</v>
      </c>
      <c r="X16" s="42" t="n">
        <f aca="false">IF(Q16="",0,Assumptions!$B$61)</f>
        <v>0.4</v>
      </c>
      <c r="Y16" s="43" t="n">
        <f aca="false">W16*X16</f>
        <v>1.6</v>
      </c>
      <c r="Z16" s="44" t="n">
        <f aca="false">L16</f>
        <v>46.06</v>
      </c>
      <c r="AA16" s="45" t="n">
        <f aca="false">Y16*Z16</f>
        <v>73.696</v>
      </c>
      <c r="AB16" s="45" t="n">
        <f aca="false">IF(A16=Assumptions!$B$45,Assumptions!$B$47+Assumptions!$B$48,IF(A16&gt;Assumptions!$B$45,Assumptions!$B$47,0))</f>
        <v>50</v>
      </c>
      <c r="AC16" s="45" t="n">
        <f aca="false">AA16*Assumptions!$B$33</f>
        <v>62.6416</v>
      </c>
      <c r="AD16" s="41" t="n">
        <f aca="false">I16+W16</f>
        <v>41</v>
      </c>
      <c r="AE16" s="45" t="n">
        <f aca="false">M16+AA16</f>
        <v>1522.283</v>
      </c>
      <c r="AF16" s="45" t="n">
        <f aca="false">N16+AB16+AJ16+AK16+AL16+Assumptions!$B$68</f>
        <v>24735.1786111111</v>
      </c>
      <c r="AG16" s="45" t="n">
        <f aca="false">O16+AC16</f>
        <v>1293.94055</v>
      </c>
      <c r="AH16" s="45" t="n">
        <f aca="false">AG16-AF16</f>
        <v>-23441.2380611111</v>
      </c>
      <c r="AI16" s="42" t="n">
        <f aca="false">IFERROR((AD16-AD15)/AD15,"")</f>
        <v>0.138888888888889</v>
      </c>
      <c r="AJ16" s="46" t="n">
        <f aca="false">MAX(Assumptions!$B$71,Assumptions!$B$69*0.5^(A16/Assumptions!$B$70))+Assumptions!$B$72*(K16+Y16)</f>
        <v>86.5675</v>
      </c>
      <c r="AK16" s="46" t="n">
        <f aca="false">IF(AND(Assumptions!$B$76=1,A16&gt;=Assumptions!$B$77),Assumptions!$B$78/12,0)</f>
        <v>4583.33333333333</v>
      </c>
      <c r="AL16" s="46" t="n">
        <f aca="false">IF(AND(Assumptions!$B$86=1,Q16&lt;&gt;""),Assumptions!$B$87/12,0)</f>
        <v>0</v>
      </c>
    </row>
    <row r="17" customFormat="false" ht="15" hidden="false" customHeight="true" outlineLevel="0" collapsed="false">
      <c r="A17" s="34" t="n">
        <v>16</v>
      </c>
      <c r="B17" s="8" t="s">
        <v>199</v>
      </c>
      <c r="C17" s="34" t="n">
        <f aca="false">IF(A17&lt;=12,1,IF(A17&lt;=24,2,IF(A17&lt;=36,3,4)))</f>
        <v>2</v>
      </c>
      <c r="D17" s="8" t="str">
        <f aca="false">IF(A17&lt;=6,"P1: Pilot-&gt;Seed",IF(A17&lt;=18,"P2: Scale/Series A",IF(A17&lt;=36,"P3: Post-Series A","P4: Maturity")))</f>
        <v>P2: Scale/Series A</v>
      </c>
      <c r="E17" s="35" t="n">
        <f aca="false">IF(C17=1,Assumptions!$B$5,IF(C17=2,Assumptions!$B$6,IF(C17=3,Assumptions!$B$7,Assumptions!$B$8)))</f>
        <v>4500</v>
      </c>
      <c r="F17" s="36" t="n">
        <f aca="false">IF(A17&lt;=6,Assumptions!$B$14,IF(A17&lt;=18,Assumptions!$B$15,IF(A17&lt;=36,Assumptions!$B$16,Assumptions!$B$17)))</f>
        <v>0.14</v>
      </c>
      <c r="G17" s="37" t="n">
        <f aca="false">ROUND(MAX(I16,1)*F17,0)</f>
        <v>5</v>
      </c>
      <c r="H17" s="37" t="n">
        <f aca="false">ROUND(I16*Assumptions!$B$18,0)</f>
        <v>1</v>
      </c>
      <c r="I17" s="37" t="n">
        <f aca="false">MIN(I16+G17-H17,E17)</f>
        <v>41</v>
      </c>
      <c r="J17" s="36" t="n">
        <f aca="false">Assumptions!$B$30</f>
        <v>0.45</v>
      </c>
      <c r="K17" s="38" t="n">
        <f aca="false">I17*J17</f>
        <v>18.45</v>
      </c>
      <c r="L17" s="39" t="n">
        <f aca="false">Assumptions!$B$10*(1-Assumptions!$B$12)+Assumptions!$B$11*Assumptions!$B$12</f>
        <v>46.06</v>
      </c>
      <c r="M17" s="18" t="n">
        <f aca="false">K17*L17</f>
        <v>849.807</v>
      </c>
      <c r="N17" s="40" t="n">
        <f aca="false">((IF(A17&lt;=Assumptions!$B$91,Assumptions!$B$90,IF(A17&gt;=Assumptions!$B$92,1,Assumptions!$B$90+(1-Assumptions!$B$90)*(A17-Assumptions!$B$91)/(Assumptions!$B$92-Assumptions!$B$91))))*Assumptions!$B$81*Assumptions!$B$75+Assumptions!$B$82)*(1+Assumptions!$B$83)/12</f>
        <v>22041.6666666667</v>
      </c>
      <c r="O17" s="18" t="n">
        <f aca="false">M17*Assumptions!$B$33</f>
        <v>722.33595</v>
      </c>
      <c r="P17" s="18" t="n">
        <f aca="false">O17-N17</f>
        <v>-21319.3307166667</v>
      </c>
      <c r="Q17" s="1" t="n">
        <f aca="false">IF(A17&gt;=Assumptions!$B$45,A17-Assumptions!$B$45+1,"")</f>
        <v>4</v>
      </c>
      <c r="R17" s="1" t="str">
        <f aca="false">IF(Q17="","Not yet launched",IF(Q17&lt;=6,"CP1: Launch",IF(Q17&lt;=18,"CP2: Scale",IF(Q17&lt;=36,"CP3: Mature","CP4: Steady"))))</f>
        <v>CP1: Launch</v>
      </c>
      <c r="S17" s="41" t="n">
        <f aca="false">IF(Q17="",0,Assumptions!$B$46)</f>
        <v>2000</v>
      </c>
      <c r="T17" s="42" t="n">
        <f aca="false">IF(Q17="",0,IF(Q17&lt;=6,Assumptions!$B$14,IF(Q17&lt;=18,Assumptions!$B$15,IF(Q17&lt;=36,Assumptions!$B$16,Assumptions!$B$17))))</f>
        <v>0.35</v>
      </c>
      <c r="U17" s="41" t="n">
        <f aca="false">IF(Q17="",0,IF(Q17=1,Assumptions!$B$65,ROUND(MAX(W16,1)*T17,0)))</f>
        <v>1</v>
      </c>
      <c r="V17" s="41" t="n">
        <f aca="false">IF(Q17="",0,ROUND(W16*Assumptions!$B$49,0))</f>
        <v>0</v>
      </c>
      <c r="W17" s="41" t="n">
        <f aca="false">IF(Q17="",0,MIN(W16+U17-V17,S17))</f>
        <v>5</v>
      </c>
      <c r="X17" s="42" t="n">
        <f aca="false">IF(Q17="",0,Assumptions!$B$62)</f>
        <v>0.55</v>
      </c>
      <c r="Y17" s="43" t="n">
        <f aca="false">W17*X17</f>
        <v>2.75</v>
      </c>
      <c r="Z17" s="44" t="n">
        <f aca="false">L17</f>
        <v>46.06</v>
      </c>
      <c r="AA17" s="45" t="n">
        <f aca="false">Y17*Z17</f>
        <v>126.665</v>
      </c>
      <c r="AB17" s="45" t="n">
        <f aca="false">IF(A17=Assumptions!$B$45,Assumptions!$B$47+Assumptions!$B$48,IF(A17&gt;Assumptions!$B$45,Assumptions!$B$47,0))</f>
        <v>50</v>
      </c>
      <c r="AC17" s="45" t="n">
        <f aca="false">AA17*Assumptions!$B$33</f>
        <v>107.66525</v>
      </c>
      <c r="AD17" s="41" t="n">
        <f aca="false">I17+W17</f>
        <v>46</v>
      </c>
      <c r="AE17" s="45" t="n">
        <f aca="false">M17+AA17</f>
        <v>976.472</v>
      </c>
      <c r="AF17" s="45" t="n">
        <f aca="false">N17+AB17+AJ17+AK17+AL17+Assumptions!$B$68</f>
        <v>26807.42</v>
      </c>
      <c r="AG17" s="45" t="n">
        <f aca="false">O17+AC17</f>
        <v>830.0012</v>
      </c>
      <c r="AH17" s="45" t="n">
        <f aca="false">AG17-AF17</f>
        <v>-25977.4188</v>
      </c>
      <c r="AI17" s="42" t="n">
        <f aca="false">IFERROR((AD17-AD16)/AD16,"")</f>
        <v>0.121951219512195</v>
      </c>
      <c r="AJ17" s="46" t="n">
        <f aca="false">MAX(Assumptions!$B$71,Assumptions!$B$69*0.5^(A17/Assumptions!$B$70))+Assumptions!$B$72*(K17+Y17)</f>
        <v>82.42</v>
      </c>
      <c r="AK17" s="46" t="n">
        <f aca="false">IF(AND(Assumptions!$B$76=1,A17&gt;=Assumptions!$B$77),Assumptions!$B$78/12,0)</f>
        <v>4583.33333333333</v>
      </c>
      <c r="AL17" s="46" t="n">
        <f aca="false">IF(AND(Assumptions!$B$86=1,Q17&lt;&gt;""),Assumptions!$B$87/12,0)</f>
        <v>0</v>
      </c>
    </row>
    <row r="18" customFormat="false" ht="15" hidden="false" customHeight="true" outlineLevel="0" collapsed="false">
      <c r="A18" s="34" t="n">
        <v>17</v>
      </c>
      <c r="B18" s="8" t="s">
        <v>200</v>
      </c>
      <c r="C18" s="34" t="n">
        <f aca="false">IF(A18&lt;=12,1,IF(A18&lt;=24,2,IF(A18&lt;=36,3,4)))</f>
        <v>2</v>
      </c>
      <c r="D18" s="8" t="str">
        <f aca="false">IF(A18&lt;=6,"P1: Pilot-&gt;Seed",IF(A18&lt;=18,"P2: Scale/Series A",IF(A18&lt;=36,"P3: Post-Series A","P4: Maturity")))</f>
        <v>P2: Scale/Series A</v>
      </c>
      <c r="E18" s="35" t="n">
        <f aca="false">IF(C18=1,Assumptions!$B$5,IF(C18=2,Assumptions!$B$6,IF(C18=3,Assumptions!$B$7,Assumptions!$B$8)))</f>
        <v>4500</v>
      </c>
      <c r="F18" s="36" t="n">
        <f aca="false">IF(A18&lt;=6,Assumptions!$B$14,IF(A18&lt;=18,Assumptions!$B$15,IF(A18&lt;=36,Assumptions!$B$16,Assumptions!$B$17)))</f>
        <v>0.14</v>
      </c>
      <c r="G18" s="37" t="n">
        <f aca="false">ROUND(MAX(I17,1)*F18,0)</f>
        <v>6</v>
      </c>
      <c r="H18" s="37" t="n">
        <f aca="false">ROUND(I17*Assumptions!$B$18,0)</f>
        <v>1</v>
      </c>
      <c r="I18" s="37" t="n">
        <f aca="false">MIN(I17+G18-H18,E18)</f>
        <v>46</v>
      </c>
      <c r="J18" s="36" t="n">
        <f aca="false">Assumptions!$B$31</f>
        <v>0.35</v>
      </c>
      <c r="K18" s="38" t="n">
        <f aca="false">I18*J18</f>
        <v>16.1</v>
      </c>
      <c r="L18" s="39" t="n">
        <f aca="false">Assumptions!$B$10*(1-Assumptions!$B$12)+Assumptions!$B$11*Assumptions!$B$12</f>
        <v>46.06</v>
      </c>
      <c r="M18" s="18" t="n">
        <f aca="false">K18*L18</f>
        <v>741.566</v>
      </c>
      <c r="N18" s="40" t="n">
        <f aca="false">((IF(A18&lt;=Assumptions!$B$91,Assumptions!$B$90,IF(A18&gt;=Assumptions!$B$92,1,Assumptions!$B$90+(1-Assumptions!$B$90)*(A18-Assumptions!$B$91)/(Assumptions!$B$92-Assumptions!$B$91))))*Assumptions!$B$81*Assumptions!$B$75+Assumptions!$B$82)*(1+Assumptions!$B$83)/12</f>
        <v>24118.0555555556</v>
      </c>
      <c r="O18" s="18" t="n">
        <f aca="false">M18*Assumptions!$B$33</f>
        <v>630.3311</v>
      </c>
      <c r="P18" s="18" t="n">
        <f aca="false">O18-N18</f>
        <v>-23487.7244555556</v>
      </c>
      <c r="Q18" s="1" t="n">
        <f aca="false">IF(A18&gt;=Assumptions!$B$45,A18-Assumptions!$B$45+1,"")</f>
        <v>5</v>
      </c>
      <c r="R18" s="1" t="str">
        <f aca="false">IF(Q18="","Not yet launched",IF(Q18&lt;=6,"CP1: Launch",IF(Q18&lt;=18,"CP2: Scale",IF(Q18&lt;=36,"CP3: Mature","CP4: Steady"))))</f>
        <v>CP1: Launch</v>
      </c>
      <c r="S18" s="41" t="n">
        <f aca="false">IF(Q18="",0,Assumptions!$B$46)</f>
        <v>2000</v>
      </c>
      <c r="T18" s="42" t="n">
        <f aca="false">IF(Q18="",0,IF(Q18&lt;=6,Assumptions!$B$14,IF(Q18&lt;=18,Assumptions!$B$15,IF(Q18&lt;=36,Assumptions!$B$16,Assumptions!$B$17))))</f>
        <v>0.35</v>
      </c>
      <c r="U18" s="41" t="n">
        <f aca="false">IF(Q18="",0,IF(Q18=1,Assumptions!$B$65,ROUND(MAX(W17,1)*T18,0)))</f>
        <v>2</v>
      </c>
      <c r="V18" s="41" t="n">
        <f aca="false">IF(Q18="",0,ROUND(W17*Assumptions!$B$49,0))</f>
        <v>0</v>
      </c>
      <c r="W18" s="41" t="n">
        <f aca="false">IF(Q18="",0,MIN(W17+U18-V18,S18))</f>
        <v>7</v>
      </c>
      <c r="X18" s="42" t="n">
        <f aca="false">IF(Q18="",0,Assumptions!$B$63)</f>
        <v>0.9</v>
      </c>
      <c r="Y18" s="43" t="n">
        <f aca="false">W18*X18</f>
        <v>6.3</v>
      </c>
      <c r="Z18" s="44" t="n">
        <f aca="false">L18</f>
        <v>46.06</v>
      </c>
      <c r="AA18" s="45" t="n">
        <f aca="false">Y18*Z18</f>
        <v>290.178</v>
      </c>
      <c r="AB18" s="45" t="n">
        <f aca="false">IF(A18=Assumptions!$B$45,Assumptions!$B$47+Assumptions!$B$48,IF(A18&gt;Assumptions!$B$45,Assumptions!$B$47,0))</f>
        <v>50</v>
      </c>
      <c r="AC18" s="45" t="n">
        <f aca="false">AA18*Assumptions!$B$33</f>
        <v>246.6513</v>
      </c>
      <c r="AD18" s="41" t="n">
        <f aca="false">I18+W18</f>
        <v>53</v>
      </c>
      <c r="AE18" s="45" t="n">
        <f aca="false">M18+AA18</f>
        <v>1031.744</v>
      </c>
      <c r="AF18" s="45" t="n">
        <f aca="false">N18+AB18+AJ18+AK18+AL18+Assumptions!$B$68</f>
        <v>28884.2288888889</v>
      </c>
      <c r="AG18" s="45" t="n">
        <f aca="false">O18+AC18</f>
        <v>876.9824</v>
      </c>
      <c r="AH18" s="45" t="n">
        <f aca="false">AG18-AF18</f>
        <v>-28007.2464888889</v>
      </c>
      <c r="AI18" s="42" t="n">
        <f aca="false">IFERROR((AD18-AD17)/AD17,"")</f>
        <v>0.152173913043478</v>
      </c>
      <c r="AJ18" s="46" t="n">
        <f aca="false">MAX(Assumptions!$B$71,Assumptions!$B$69*0.5^(A18/Assumptions!$B$70))+Assumptions!$B$72*(K18+Y18)</f>
        <v>82.84</v>
      </c>
      <c r="AK18" s="46" t="n">
        <f aca="false">IF(AND(Assumptions!$B$76=1,A18&gt;=Assumptions!$B$77),Assumptions!$B$78/12,0)</f>
        <v>4583.33333333333</v>
      </c>
      <c r="AL18" s="46" t="n">
        <f aca="false">IF(AND(Assumptions!$B$86=1,Q18&lt;&gt;""),Assumptions!$B$87/12,0)</f>
        <v>0</v>
      </c>
    </row>
    <row r="19" customFormat="false" ht="15" hidden="false" customHeight="true" outlineLevel="0" collapsed="false">
      <c r="A19" s="34" t="n">
        <v>18</v>
      </c>
      <c r="B19" s="8" t="s">
        <v>201</v>
      </c>
      <c r="C19" s="34" t="n">
        <f aca="false">IF(A19&lt;=12,1,IF(A19&lt;=24,2,IF(A19&lt;=36,3,4)))</f>
        <v>2</v>
      </c>
      <c r="D19" s="8" t="str">
        <f aca="false">IF(A19&lt;=6,"P1: Pilot-&gt;Seed",IF(A19&lt;=18,"P2: Scale/Series A",IF(A19&lt;=36,"P3: Post-Series A","P4: Maturity")))</f>
        <v>P2: Scale/Series A</v>
      </c>
      <c r="E19" s="35" t="n">
        <f aca="false">IF(C19=1,Assumptions!$B$5,IF(C19=2,Assumptions!$B$6,IF(C19=3,Assumptions!$B$7,Assumptions!$B$8)))</f>
        <v>4500</v>
      </c>
      <c r="F19" s="36" t="n">
        <f aca="false">IF(A19&lt;=6,Assumptions!$B$14,IF(A19&lt;=18,Assumptions!$B$15,IF(A19&lt;=36,Assumptions!$B$16,Assumptions!$B$17)))</f>
        <v>0.14</v>
      </c>
      <c r="G19" s="37" t="n">
        <f aca="false">ROUND(MAX(I18,1)*F19,0)</f>
        <v>6</v>
      </c>
      <c r="H19" s="37" t="n">
        <f aca="false">ROUND(I18*Assumptions!$B$18,0)</f>
        <v>1</v>
      </c>
      <c r="I19" s="37" t="n">
        <f aca="false">MIN(I18+G19-H19,E19)</f>
        <v>51</v>
      </c>
      <c r="J19" s="36" t="n">
        <f aca="false">Assumptions!$B$20</f>
        <v>0.35</v>
      </c>
      <c r="K19" s="38" t="n">
        <f aca="false">I19*J19</f>
        <v>17.85</v>
      </c>
      <c r="L19" s="39" t="n">
        <f aca="false">Assumptions!$B$10*(1-Assumptions!$B$12)+Assumptions!$B$11*Assumptions!$B$12</f>
        <v>46.06</v>
      </c>
      <c r="M19" s="18" t="n">
        <f aca="false">K19*L19</f>
        <v>822.171</v>
      </c>
      <c r="N19" s="40" t="n">
        <f aca="false">((IF(A19&lt;=Assumptions!$B$91,Assumptions!$B$90,IF(A19&gt;=Assumptions!$B$92,1,Assumptions!$B$90+(1-Assumptions!$B$90)*(A19-Assumptions!$B$91)/(Assumptions!$B$92-Assumptions!$B$91))))*Assumptions!$B$81*Assumptions!$B$75+Assumptions!$B$82)*(1+Assumptions!$B$83)/12</f>
        <v>26194.4444444444</v>
      </c>
      <c r="O19" s="18" t="n">
        <f aca="false">M19*Assumptions!$B$33</f>
        <v>698.84535</v>
      </c>
      <c r="P19" s="18" t="n">
        <f aca="false">O19-N19</f>
        <v>-25495.5990944444</v>
      </c>
      <c r="Q19" s="1" t="n">
        <f aca="false">IF(A19&gt;=Assumptions!$B$45,A19-Assumptions!$B$45+1,"")</f>
        <v>6</v>
      </c>
      <c r="R19" s="1" t="str">
        <f aca="false">IF(Q19="","Not yet launched",IF(Q19&lt;=6,"CP1: Launch",IF(Q19&lt;=18,"CP2: Scale",IF(Q19&lt;=36,"CP3: Mature","CP4: Steady"))))</f>
        <v>CP1: Launch</v>
      </c>
      <c r="S19" s="41" t="n">
        <f aca="false">IF(Q19="",0,Assumptions!$B$46)</f>
        <v>2000</v>
      </c>
      <c r="T19" s="42" t="n">
        <f aca="false">IF(Q19="",0,IF(Q19&lt;=6,Assumptions!$B$14,IF(Q19&lt;=18,Assumptions!$B$15,IF(Q19&lt;=36,Assumptions!$B$16,Assumptions!$B$17))))</f>
        <v>0.35</v>
      </c>
      <c r="U19" s="41" t="n">
        <f aca="false">IF(Q19="",0,IF(Q19=1,Assumptions!$B$65,ROUND(MAX(W18,1)*T19,0)))</f>
        <v>2</v>
      </c>
      <c r="V19" s="41" t="n">
        <f aca="false">IF(Q19="",0,ROUND(W18*Assumptions!$B$49,0))</f>
        <v>0</v>
      </c>
      <c r="W19" s="41" t="n">
        <f aca="false">IF(Q19="",0,MIN(W18+U19-V19,S19))</f>
        <v>9</v>
      </c>
      <c r="X19" s="42" t="n">
        <f aca="false">IF(Q19="",0,Assumptions!$B$52)</f>
        <v>1</v>
      </c>
      <c r="Y19" s="43" t="n">
        <f aca="false">W19*X19</f>
        <v>9</v>
      </c>
      <c r="Z19" s="44" t="n">
        <f aca="false">L19</f>
        <v>46.06</v>
      </c>
      <c r="AA19" s="45" t="n">
        <f aca="false">Y19*Z19</f>
        <v>414.54</v>
      </c>
      <c r="AB19" s="45" t="n">
        <f aca="false">IF(A19=Assumptions!$B$45,Assumptions!$B$47+Assumptions!$B$48,IF(A19&gt;Assumptions!$B$45,Assumptions!$B$47,0))</f>
        <v>50</v>
      </c>
      <c r="AC19" s="45" t="n">
        <f aca="false">AA19*Assumptions!$B$33</f>
        <v>352.359</v>
      </c>
      <c r="AD19" s="41" t="n">
        <f aca="false">I19+W19</f>
        <v>60</v>
      </c>
      <c r="AE19" s="45" t="n">
        <f aca="false">M19+AA19</f>
        <v>1236.711</v>
      </c>
      <c r="AF19" s="45" t="n">
        <f aca="false">N19+AB19+AJ19+AK19+AL19+Assumptions!$B$68</f>
        <v>30962.1752777778</v>
      </c>
      <c r="AG19" s="45" t="n">
        <f aca="false">O19+AC19</f>
        <v>1051.20435</v>
      </c>
      <c r="AH19" s="45" t="n">
        <f aca="false">AG19-AF19</f>
        <v>-29910.9709277778</v>
      </c>
      <c r="AI19" s="42" t="n">
        <f aca="false">IFERROR((AD19-AD18)/AD18,"")</f>
        <v>0.132075471698113</v>
      </c>
      <c r="AJ19" s="46" t="n">
        <f aca="false">MAX(Assumptions!$B$71,Assumptions!$B$69*0.5^(A19/Assumptions!$B$70))+Assumptions!$B$72*(K19+Y19)</f>
        <v>84.3975</v>
      </c>
      <c r="AK19" s="46" t="n">
        <f aca="false">IF(AND(Assumptions!$B$76=1,A19&gt;=Assumptions!$B$77),Assumptions!$B$78/12,0)</f>
        <v>4583.33333333333</v>
      </c>
      <c r="AL19" s="46" t="n">
        <f aca="false">IF(AND(Assumptions!$B$86=1,Q19&lt;&gt;""),Assumptions!$B$87/12,0)</f>
        <v>0</v>
      </c>
    </row>
    <row r="20" customFormat="false" ht="15" hidden="false" customHeight="true" outlineLevel="0" collapsed="false">
      <c r="A20" s="34" t="n">
        <v>19</v>
      </c>
      <c r="B20" s="8" t="s">
        <v>202</v>
      </c>
      <c r="C20" s="34" t="n">
        <f aca="false">IF(A20&lt;=12,1,IF(A20&lt;=24,2,IF(A20&lt;=36,3,4)))</f>
        <v>2</v>
      </c>
      <c r="D20" s="8" t="str">
        <f aca="false">IF(A20&lt;=6,"P1: Pilot-&gt;Seed",IF(A20&lt;=18,"P2: Scale/Series A",IF(A20&lt;=36,"P3: Post-Series A","P4: Maturity")))</f>
        <v>P3: Post-Series A</v>
      </c>
      <c r="E20" s="35" t="n">
        <f aca="false">IF(C20=1,Assumptions!$B$5,IF(C20=2,Assumptions!$B$6,IF(C20=3,Assumptions!$B$7,Assumptions!$B$8)))</f>
        <v>4500</v>
      </c>
      <c r="F20" s="36" t="n">
        <f aca="false">IF(A20&lt;=6,Assumptions!$B$14,IF(A20&lt;=18,Assumptions!$B$15,IF(A20&lt;=36,Assumptions!$B$16,Assumptions!$B$17)))</f>
        <v>0.08</v>
      </c>
      <c r="G20" s="37" t="n">
        <f aca="false">ROUND(MAX(I19,1)*F20,0)</f>
        <v>4</v>
      </c>
      <c r="H20" s="37" t="n">
        <f aca="false">ROUND(I19*Assumptions!$B$18,0)</f>
        <v>1</v>
      </c>
      <c r="I20" s="37" t="n">
        <f aca="false">MIN(I19+G20-H20,E20)</f>
        <v>54</v>
      </c>
      <c r="J20" s="36" t="n">
        <f aca="false">Assumptions!$B$21</f>
        <v>0.35</v>
      </c>
      <c r="K20" s="38" t="n">
        <f aca="false">I20*J20</f>
        <v>18.9</v>
      </c>
      <c r="L20" s="39" t="n">
        <f aca="false">Assumptions!$B$10*(1-Assumptions!$B$12)+Assumptions!$B$11*Assumptions!$B$12</f>
        <v>46.06</v>
      </c>
      <c r="M20" s="18" t="n">
        <f aca="false">K20*L20</f>
        <v>870.534</v>
      </c>
      <c r="N20" s="40" t="n">
        <f aca="false">((IF(A20&lt;=Assumptions!$B$91,Assumptions!$B$90,IF(A20&gt;=Assumptions!$B$92,1,Assumptions!$B$90+(1-Assumptions!$B$90)*(A20-Assumptions!$B$91)/(Assumptions!$B$92-Assumptions!$B$91))))*Assumptions!$B$81*Assumptions!$B$75+Assumptions!$B$82)*(1+Assumptions!$B$83)/12</f>
        <v>28270.8333333333</v>
      </c>
      <c r="O20" s="18" t="n">
        <f aca="false">M20*Assumptions!$B$33</f>
        <v>739.9539</v>
      </c>
      <c r="P20" s="18" t="n">
        <f aca="false">O20-N20</f>
        <v>-27530.8794333333</v>
      </c>
      <c r="Q20" s="1" t="n">
        <f aca="false">IF(A20&gt;=Assumptions!$B$45,A20-Assumptions!$B$45+1,"")</f>
        <v>7</v>
      </c>
      <c r="R20" s="1" t="str">
        <f aca="false">IF(Q20="","Not yet launched",IF(Q20&lt;=6,"CP1: Launch",IF(Q20&lt;=18,"CP2: Scale",IF(Q20&lt;=36,"CP3: Mature","CP4: Steady"))))</f>
        <v>CP2: Scale</v>
      </c>
      <c r="S20" s="41" t="n">
        <f aca="false">IF(Q20="",0,Assumptions!$B$46)</f>
        <v>2000</v>
      </c>
      <c r="T20" s="42" t="n">
        <f aca="false">IF(Q20="",0,IF(Q20&lt;=6,Assumptions!$B$14,IF(Q20&lt;=18,Assumptions!$B$15,IF(Q20&lt;=36,Assumptions!$B$16,Assumptions!$B$17))))</f>
        <v>0.14</v>
      </c>
      <c r="U20" s="41" t="n">
        <f aca="false">IF(Q20="",0,IF(Q20=1,Assumptions!$B$65,ROUND(MAX(W19,1)*T20,0)))</f>
        <v>1</v>
      </c>
      <c r="V20" s="41" t="n">
        <f aca="false">IF(Q20="",0,ROUND(W19*Assumptions!$B$49,0))</f>
        <v>0</v>
      </c>
      <c r="W20" s="41" t="n">
        <f aca="false">IF(Q20="",0,MIN(W19+U20-V20,S20))</f>
        <v>10</v>
      </c>
      <c r="X20" s="42" t="n">
        <f aca="false">IF(Q20="",0,Assumptions!$B$53)</f>
        <v>1</v>
      </c>
      <c r="Y20" s="43" t="n">
        <f aca="false">W20*X20</f>
        <v>10</v>
      </c>
      <c r="Z20" s="44" t="n">
        <f aca="false">L20</f>
        <v>46.06</v>
      </c>
      <c r="AA20" s="45" t="n">
        <f aca="false">Y20*Z20</f>
        <v>460.6</v>
      </c>
      <c r="AB20" s="45" t="n">
        <f aca="false">IF(A20=Assumptions!$B$45,Assumptions!$B$47+Assumptions!$B$48,IF(A20&gt;Assumptions!$B$45,Assumptions!$B$47,0))</f>
        <v>50</v>
      </c>
      <c r="AC20" s="45" t="n">
        <f aca="false">AA20*Assumptions!$B$33</f>
        <v>391.51</v>
      </c>
      <c r="AD20" s="41" t="n">
        <f aca="false">I20+W20</f>
        <v>64</v>
      </c>
      <c r="AE20" s="45" t="n">
        <f aca="false">M20+AA20</f>
        <v>1331.134</v>
      </c>
      <c r="AF20" s="45" t="n">
        <f aca="false">N20+AB20+AJ20+AK20+AL20+Assumptions!$B$68</f>
        <v>33039.2816666667</v>
      </c>
      <c r="AG20" s="45" t="n">
        <f aca="false">O20+AC20</f>
        <v>1131.4639</v>
      </c>
      <c r="AH20" s="45" t="n">
        <f aca="false">AG20-AF20</f>
        <v>-31907.8177666667</v>
      </c>
      <c r="AI20" s="42" t="n">
        <f aca="false">IFERROR((AD20-AD19)/AD19,"")</f>
        <v>0.0666666666666667</v>
      </c>
      <c r="AJ20" s="46" t="n">
        <f aca="false">MAX(Assumptions!$B$71,Assumptions!$B$69*0.5^(A20/Assumptions!$B$70))+Assumptions!$B$72*(K20+Y20)</f>
        <v>85.115</v>
      </c>
      <c r="AK20" s="46" t="n">
        <f aca="false">IF(AND(Assumptions!$B$76=1,A20&gt;=Assumptions!$B$77),Assumptions!$B$78/12,0)</f>
        <v>4583.33333333333</v>
      </c>
      <c r="AL20" s="46" t="n">
        <f aca="false">IF(AND(Assumptions!$B$86=1,Q20&lt;&gt;""),Assumptions!$B$87/12,0)</f>
        <v>0</v>
      </c>
    </row>
    <row r="21" customFormat="false" ht="15" hidden="false" customHeight="true" outlineLevel="0" collapsed="false">
      <c r="A21" s="34" t="n">
        <v>20</v>
      </c>
      <c r="B21" s="8" t="s">
        <v>203</v>
      </c>
      <c r="C21" s="34" t="n">
        <f aca="false">IF(A21&lt;=12,1,IF(A21&lt;=24,2,IF(A21&lt;=36,3,4)))</f>
        <v>2</v>
      </c>
      <c r="D21" s="8" t="str">
        <f aca="false">IF(A21&lt;=6,"P1: Pilot-&gt;Seed",IF(A21&lt;=18,"P2: Scale/Series A",IF(A21&lt;=36,"P3: Post-Series A","P4: Maturity")))</f>
        <v>P3: Post-Series A</v>
      </c>
      <c r="E21" s="35" t="n">
        <f aca="false">IF(C21=1,Assumptions!$B$5,IF(C21=2,Assumptions!$B$6,IF(C21=3,Assumptions!$B$7,Assumptions!$B$8)))</f>
        <v>4500</v>
      </c>
      <c r="F21" s="36" t="n">
        <f aca="false">IF(A21&lt;=6,Assumptions!$B$14,IF(A21&lt;=18,Assumptions!$B$15,IF(A21&lt;=36,Assumptions!$B$16,Assumptions!$B$17)))</f>
        <v>0.08</v>
      </c>
      <c r="G21" s="37" t="n">
        <f aca="false">ROUND(MAX(I20,1)*F21,0)</f>
        <v>4</v>
      </c>
      <c r="H21" s="37" t="n">
        <f aca="false">ROUND(I20*Assumptions!$B$18,0)</f>
        <v>1</v>
      </c>
      <c r="I21" s="37" t="n">
        <f aca="false">MIN(I20+G21-H21,E21)</f>
        <v>57</v>
      </c>
      <c r="J21" s="36" t="n">
        <f aca="false">Assumptions!$B$22</f>
        <v>0.55</v>
      </c>
      <c r="K21" s="38" t="n">
        <f aca="false">I21*J21</f>
        <v>31.35</v>
      </c>
      <c r="L21" s="39" t="n">
        <f aca="false">Assumptions!$B$10*(1-Assumptions!$B$12)+Assumptions!$B$11*Assumptions!$B$12</f>
        <v>46.06</v>
      </c>
      <c r="M21" s="18" t="n">
        <f aca="false">K21*L21</f>
        <v>1443.981</v>
      </c>
      <c r="N21" s="40" t="n">
        <f aca="false">((IF(A21&lt;=Assumptions!$B$91,Assumptions!$B$90,IF(A21&gt;=Assumptions!$B$92,1,Assumptions!$B$90+(1-Assumptions!$B$90)*(A21-Assumptions!$B$91)/(Assumptions!$B$92-Assumptions!$B$91))))*Assumptions!$B$81*Assumptions!$B$75+Assumptions!$B$82)*(1+Assumptions!$B$83)/12</f>
        <v>28270.8333333333</v>
      </c>
      <c r="O21" s="18" t="n">
        <f aca="false">M21*Assumptions!$B$33</f>
        <v>1227.38385</v>
      </c>
      <c r="P21" s="18" t="n">
        <f aca="false">O21-N21</f>
        <v>-27043.4494833333</v>
      </c>
      <c r="Q21" s="1" t="n">
        <f aca="false">IF(A21&gt;=Assumptions!$B$45,A21-Assumptions!$B$45+1,"")</f>
        <v>8</v>
      </c>
      <c r="R21" s="1" t="str">
        <f aca="false">IF(Q21="","Not yet launched",IF(Q21&lt;=6,"CP1: Launch",IF(Q21&lt;=18,"CP2: Scale",IF(Q21&lt;=36,"CP3: Mature","CP4: Steady"))))</f>
        <v>CP2: Scale</v>
      </c>
      <c r="S21" s="41" t="n">
        <f aca="false">IF(Q21="",0,Assumptions!$B$46)</f>
        <v>2000</v>
      </c>
      <c r="T21" s="42" t="n">
        <f aca="false">IF(Q21="",0,IF(Q21&lt;=6,Assumptions!$B$14,IF(Q21&lt;=18,Assumptions!$B$15,IF(Q21&lt;=36,Assumptions!$B$16,Assumptions!$B$17))))</f>
        <v>0.14</v>
      </c>
      <c r="U21" s="41" t="n">
        <f aca="false">IF(Q21="",0,IF(Q21=1,Assumptions!$B$65,ROUND(MAX(W20,1)*T21,0)))</f>
        <v>1</v>
      </c>
      <c r="V21" s="41" t="n">
        <f aca="false">IF(Q21="",0,ROUND(W20*Assumptions!$B$49,0))</f>
        <v>0</v>
      </c>
      <c r="W21" s="41" t="n">
        <f aca="false">IF(Q21="",0,MIN(W20+U21-V21,S21))</f>
        <v>11</v>
      </c>
      <c r="X21" s="42" t="n">
        <f aca="false">IF(Q21="",0,Assumptions!$B$54)</f>
        <v>1</v>
      </c>
      <c r="Y21" s="43" t="n">
        <f aca="false">W21*X21</f>
        <v>11</v>
      </c>
      <c r="Z21" s="44" t="n">
        <f aca="false">L21</f>
        <v>46.06</v>
      </c>
      <c r="AA21" s="45" t="n">
        <f aca="false">Y21*Z21</f>
        <v>506.66</v>
      </c>
      <c r="AB21" s="45" t="n">
        <f aca="false">IF(A21=Assumptions!$B$45,Assumptions!$B$47+Assumptions!$B$48,IF(A21&gt;Assumptions!$B$45,Assumptions!$B$47,0))</f>
        <v>50</v>
      </c>
      <c r="AC21" s="45" t="n">
        <f aca="false">AA21*Assumptions!$B$33</f>
        <v>430.661</v>
      </c>
      <c r="AD21" s="41" t="n">
        <f aca="false">I21+W21</f>
        <v>68</v>
      </c>
      <c r="AE21" s="45" t="n">
        <f aca="false">M21+AA21</f>
        <v>1950.641</v>
      </c>
      <c r="AF21" s="45" t="n">
        <f aca="false">N21+AB21+AJ21+AK21+AL21+Assumptions!$B$68</f>
        <v>33043.9891666667</v>
      </c>
      <c r="AG21" s="45" t="n">
        <f aca="false">O21+AC21</f>
        <v>1658.04485</v>
      </c>
      <c r="AH21" s="45" t="n">
        <f aca="false">AG21-AF21</f>
        <v>-31385.9443166667</v>
      </c>
      <c r="AI21" s="42" t="n">
        <f aca="false">IFERROR((AD21-AD20)/AD20,"")</f>
        <v>0.0625</v>
      </c>
      <c r="AJ21" s="46" t="n">
        <f aca="false">MAX(Assumptions!$B$71,Assumptions!$B$69*0.5^(A21/Assumptions!$B$70))+Assumptions!$B$72*(K21+Y21)</f>
        <v>89.8225</v>
      </c>
      <c r="AK21" s="46" t="n">
        <f aca="false">IF(AND(Assumptions!$B$76=1,A21&gt;=Assumptions!$B$77),Assumptions!$B$78/12,0)</f>
        <v>4583.33333333333</v>
      </c>
      <c r="AL21" s="46" t="n">
        <f aca="false">IF(AND(Assumptions!$B$86=1,Q21&lt;&gt;""),Assumptions!$B$87/12,0)</f>
        <v>0</v>
      </c>
    </row>
    <row r="22" customFormat="false" ht="15" hidden="false" customHeight="true" outlineLevel="0" collapsed="false">
      <c r="A22" s="34" t="n">
        <v>21</v>
      </c>
      <c r="B22" s="8" t="s">
        <v>204</v>
      </c>
      <c r="C22" s="34" t="n">
        <f aca="false">IF(A22&lt;=12,1,IF(A22&lt;=24,2,IF(A22&lt;=36,3,4)))</f>
        <v>2</v>
      </c>
      <c r="D22" s="8" t="str">
        <f aca="false">IF(A22&lt;=6,"P1: Pilot-&gt;Seed",IF(A22&lt;=18,"P2: Scale/Series A",IF(A22&lt;=36,"P3: Post-Series A","P4: Maturity")))</f>
        <v>P3: Post-Series A</v>
      </c>
      <c r="E22" s="35" t="n">
        <f aca="false">IF(C22=1,Assumptions!$B$5,IF(C22=2,Assumptions!$B$6,IF(C22=3,Assumptions!$B$7,Assumptions!$B$8)))</f>
        <v>4500</v>
      </c>
      <c r="F22" s="36" t="n">
        <f aca="false">IF(A22&lt;=6,Assumptions!$B$14,IF(A22&lt;=18,Assumptions!$B$15,IF(A22&lt;=36,Assumptions!$B$16,Assumptions!$B$17)))</f>
        <v>0.08</v>
      </c>
      <c r="G22" s="37" t="n">
        <f aca="false">ROUND(MAX(I21,1)*F22,0)</f>
        <v>5</v>
      </c>
      <c r="H22" s="37" t="n">
        <f aca="false">ROUND(I21*Assumptions!$B$18,0)</f>
        <v>1</v>
      </c>
      <c r="I22" s="37" t="n">
        <f aca="false">MIN(I21+G22-H22,E22)</f>
        <v>61</v>
      </c>
      <c r="J22" s="36" t="n">
        <f aca="false">Assumptions!$B$23</f>
        <v>0.85</v>
      </c>
      <c r="K22" s="38" t="n">
        <f aca="false">I22*J22</f>
        <v>51.85</v>
      </c>
      <c r="L22" s="39" t="n">
        <f aca="false">Assumptions!$B$10*(1-Assumptions!$B$12)+Assumptions!$B$11*Assumptions!$B$12</f>
        <v>46.06</v>
      </c>
      <c r="M22" s="18" t="n">
        <f aca="false">K22*L22</f>
        <v>2388.211</v>
      </c>
      <c r="N22" s="40" t="n">
        <f aca="false">((IF(A22&lt;=Assumptions!$B$91,Assumptions!$B$90,IF(A22&gt;=Assumptions!$B$92,1,Assumptions!$B$90+(1-Assumptions!$B$90)*(A22-Assumptions!$B$91)/(Assumptions!$B$92-Assumptions!$B$91))))*Assumptions!$B$81*Assumptions!$B$75+Assumptions!$B$82)*(1+Assumptions!$B$83)/12</f>
        <v>28270.8333333333</v>
      </c>
      <c r="O22" s="18" t="n">
        <f aca="false">M22*Assumptions!$B$33</f>
        <v>2029.97935</v>
      </c>
      <c r="P22" s="18" t="n">
        <f aca="false">O22-N22</f>
        <v>-26240.8539833333</v>
      </c>
      <c r="Q22" s="1" t="n">
        <f aca="false">IF(A22&gt;=Assumptions!$B$45,A22-Assumptions!$B$45+1,"")</f>
        <v>9</v>
      </c>
      <c r="R22" s="1" t="str">
        <f aca="false">IF(Q22="","Not yet launched",IF(Q22&lt;=6,"CP1: Launch",IF(Q22&lt;=18,"CP2: Scale",IF(Q22&lt;=36,"CP3: Mature","CP4: Steady"))))</f>
        <v>CP2: Scale</v>
      </c>
      <c r="S22" s="41" t="n">
        <f aca="false">IF(Q22="",0,Assumptions!$B$46)</f>
        <v>2000</v>
      </c>
      <c r="T22" s="42" t="n">
        <f aca="false">IF(Q22="",0,IF(Q22&lt;=6,Assumptions!$B$14,IF(Q22&lt;=18,Assumptions!$B$15,IF(Q22&lt;=36,Assumptions!$B$16,Assumptions!$B$17))))</f>
        <v>0.14</v>
      </c>
      <c r="U22" s="41" t="n">
        <f aca="false">IF(Q22="",0,IF(Q22=1,Assumptions!$B$65,ROUND(MAX(W21,1)*T22,0)))</f>
        <v>2</v>
      </c>
      <c r="V22" s="41" t="n">
        <f aca="false">IF(Q22="",0,ROUND(W21*Assumptions!$B$49,0))</f>
        <v>0</v>
      </c>
      <c r="W22" s="41" t="n">
        <f aca="false">IF(Q22="",0,MIN(W21+U22-V22,S22))</f>
        <v>13</v>
      </c>
      <c r="X22" s="42" t="n">
        <f aca="false">IF(Q22="",0,Assumptions!$B$55)</f>
        <v>0.9</v>
      </c>
      <c r="Y22" s="43" t="n">
        <f aca="false">W22*X22</f>
        <v>11.7</v>
      </c>
      <c r="Z22" s="44" t="n">
        <f aca="false">L22</f>
        <v>46.06</v>
      </c>
      <c r="AA22" s="45" t="n">
        <f aca="false">Y22*Z22</f>
        <v>538.902</v>
      </c>
      <c r="AB22" s="45" t="n">
        <f aca="false">IF(A22=Assumptions!$B$45,Assumptions!$B$47+Assumptions!$B$48,IF(A22&gt;Assumptions!$B$45,Assumptions!$B$47,0))</f>
        <v>50</v>
      </c>
      <c r="AC22" s="45" t="n">
        <f aca="false">AA22*Assumptions!$B$33</f>
        <v>458.0667</v>
      </c>
      <c r="AD22" s="41" t="n">
        <f aca="false">I22+W22</f>
        <v>74</v>
      </c>
      <c r="AE22" s="45" t="n">
        <f aca="false">M22+AA22</f>
        <v>2927.113</v>
      </c>
      <c r="AF22" s="45" t="n">
        <f aca="false">N22+AB22+AJ22+AK22+AL22+Assumptions!$B$68</f>
        <v>33051.4091666667</v>
      </c>
      <c r="AG22" s="45" t="n">
        <f aca="false">O22+AC22</f>
        <v>2488.04605</v>
      </c>
      <c r="AH22" s="45" t="n">
        <f aca="false">AG22-AF22</f>
        <v>-30563.3631166667</v>
      </c>
      <c r="AI22" s="42" t="n">
        <f aca="false">IFERROR((AD22-AD21)/AD21,"")</f>
        <v>0.0882352941176471</v>
      </c>
      <c r="AJ22" s="46" t="n">
        <f aca="false">MAX(Assumptions!$B$71,Assumptions!$B$69*0.5^(A22/Assumptions!$B$70))+Assumptions!$B$72*(K22+Y22)</f>
        <v>97.2425</v>
      </c>
      <c r="AK22" s="46" t="n">
        <f aca="false">IF(AND(Assumptions!$B$76=1,A22&gt;=Assumptions!$B$77),Assumptions!$B$78/12,0)</f>
        <v>4583.33333333333</v>
      </c>
      <c r="AL22" s="46" t="n">
        <f aca="false">IF(AND(Assumptions!$B$86=1,Q22&lt;&gt;""),Assumptions!$B$87/12,0)</f>
        <v>0</v>
      </c>
    </row>
    <row r="23" customFormat="false" ht="15" hidden="false" customHeight="true" outlineLevel="0" collapsed="false">
      <c r="A23" s="34" t="n">
        <v>22</v>
      </c>
      <c r="B23" s="8" t="s">
        <v>205</v>
      </c>
      <c r="C23" s="34" t="n">
        <f aca="false">IF(A23&lt;=12,1,IF(A23&lt;=24,2,IF(A23&lt;=36,3,4)))</f>
        <v>2</v>
      </c>
      <c r="D23" s="8" t="str">
        <f aca="false">IF(A23&lt;=6,"P1: Pilot-&gt;Seed",IF(A23&lt;=18,"P2: Scale/Series A",IF(A23&lt;=36,"P3: Post-Series A","P4: Maturity")))</f>
        <v>P3: Post-Series A</v>
      </c>
      <c r="E23" s="35" t="n">
        <f aca="false">IF(C23=1,Assumptions!$B$5,IF(C23=2,Assumptions!$B$6,IF(C23=3,Assumptions!$B$7,Assumptions!$B$8)))</f>
        <v>4500</v>
      </c>
      <c r="F23" s="36" t="n">
        <f aca="false">IF(A23&lt;=6,Assumptions!$B$14,IF(A23&lt;=18,Assumptions!$B$15,IF(A23&lt;=36,Assumptions!$B$16,Assumptions!$B$17)))</f>
        <v>0.08</v>
      </c>
      <c r="G23" s="37" t="n">
        <f aca="false">ROUND(MAX(I22,1)*F23,0)</f>
        <v>5</v>
      </c>
      <c r="H23" s="37" t="n">
        <f aca="false">ROUND(I22*Assumptions!$B$18,0)</f>
        <v>1</v>
      </c>
      <c r="I23" s="37" t="n">
        <f aca="false">MIN(I22+G23-H23,E23)</f>
        <v>65</v>
      </c>
      <c r="J23" s="36" t="n">
        <f aca="false">Assumptions!$B$24</f>
        <v>1</v>
      </c>
      <c r="K23" s="38" t="n">
        <f aca="false">I23*J23</f>
        <v>65</v>
      </c>
      <c r="L23" s="39" t="n">
        <f aca="false">Assumptions!$B$10*(1-Assumptions!$B$12)+Assumptions!$B$11*Assumptions!$B$12</f>
        <v>46.06</v>
      </c>
      <c r="M23" s="18" t="n">
        <f aca="false">K23*L23</f>
        <v>2993.9</v>
      </c>
      <c r="N23" s="40" t="n">
        <f aca="false">((IF(A23&lt;=Assumptions!$B$91,Assumptions!$B$90,IF(A23&gt;=Assumptions!$B$92,1,Assumptions!$B$90+(1-Assumptions!$B$90)*(A23-Assumptions!$B$91)/(Assumptions!$B$92-Assumptions!$B$91))))*Assumptions!$B$81*Assumptions!$B$75+Assumptions!$B$82)*(1+Assumptions!$B$83)/12</f>
        <v>28270.8333333333</v>
      </c>
      <c r="O23" s="18" t="n">
        <f aca="false">M23*Assumptions!$B$33</f>
        <v>2544.815</v>
      </c>
      <c r="P23" s="18" t="n">
        <f aca="false">O23-N23</f>
        <v>-25726.0183333333</v>
      </c>
      <c r="Q23" s="1" t="n">
        <f aca="false">IF(A23&gt;=Assumptions!$B$45,A23-Assumptions!$B$45+1,"")</f>
        <v>10</v>
      </c>
      <c r="R23" s="1" t="str">
        <f aca="false">IF(Q23="","Not yet launched",IF(Q23&lt;=6,"CP1: Launch",IF(Q23&lt;=18,"CP2: Scale",IF(Q23&lt;=36,"CP3: Mature","CP4: Steady"))))</f>
        <v>CP2: Scale</v>
      </c>
      <c r="S23" s="41" t="n">
        <f aca="false">IF(Q23="",0,Assumptions!$B$46)</f>
        <v>2000</v>
      </c>
      <c r="T23" s="42" t="n">
        <f aca="false">IF(Q23="",0,IF(Q23&lt;=6,Assumptions!$B$14,IF(Q23&lt;=18,Assumptions!$B$15,IF(Q23&lt;=36,Assumptions!$B$16,Assumptions!$B$17))))</f>
        <v>0.14</v>
      </c>
      <c r="U23" s="41" t="n">
        <f aca="false">IF(Q23="",0,IF(Q23=1,Assumptions!$B$65,ROUND(MAX(W22,1)*T23,0)))</f>
        <v>2</v>
      </c>
      <c r="V23" s="41" t="n">
        <f aca="false">IF(Q23="",0,ROUND(W22*Assumptions!$B$49,0))</f>
        <v>0</v>
      </c>
      <c r="W23" s="41" t="n">
        <f aca="false">IF(Q23="",0,MIN(W22+U23-V23,S23))</f>
        <v>15</v>
      </c>
      <c r="X23" s="42" t="n">
        <f aca="false">IF(Q23="",0,Assumptions!$B$56)</f>
        <v>0.6</v>
      </c>
      <c r="Y23" s="43" t="n">
        <f aca="false">W23*X23</f>
        <v>9</v>
      </c>
      <c r="Z23" s="44" t="n">
        <f aca="false">L23</f>
        <v>46.06</v>
      </c>
      <c r="AA23" s="45" t="n">
        <f aca="false">Y23*Z23</f>
        <v>414.54</v>
      </c>
      <c r="AB23" s="45" t="n">
        <f aca="false">IF(A23=Assumptions!$B$45,Assumptions!$B$47+Assumptions!$B$48,IF(A23&gt;Assumptions!$B$45,Assumptions!$B$47,0))</f>
        <v>50</v>
      </c>
      <c r="AC23" s="45" t="n">
        <f aca="false">AA23*Assumptions!$B$33</f>
        <v>352.359</v>
      </c>
      <c r="AD23" s="41" t="n">
        <f aca="false">I23+W23</f>
        <v>80</v>
      </c>
      <c r="AE23" s="45" t="n">
        <f aca="false">M23+AA23</f>
        <v>3408.44</v>
      </c>
      <c r="AF23" s="45" t="n">
        <f aca="false">N23+AB23+AJ23+AK23+AL23+Assumptions!$B$68</f>
        <v>33055.0666666667</v>
      </c>
      <c r="AG23" s="45" t="n">
        <f aca="false">O23+AC23</f>
        <v>2897.174</v>
      </c>
      <c r="AH23" s="45" t="n">
        <f aca="false">AG23-AF23</f>
        <v>-30157.8926666667</v>
      </c>
      <c r="AI23" s="42" t="n">
        <f aca="false">IFERROR((AD23-AD22)/AD22,"")</f>
        <v>0.0810810810810811</v>
      </c>
      <c r="AJ23" s="46" t="n">
        <f aca="false">MAX(Assumptions!$B$71,Assumptions!$B$69*0.5^(A23/Assumptions!$B$70))+Assumptions!$B$72*(K23+Y23)</f>
        <v>100.9</v>
      </c>
      <c r="AK23" s="46" t="n">
        <f aca="false">IF(AND(Assumptions!$B$76=1,A23&gt;=Assumptions!$B$77),Assumptions!$B$78/12,0)</f>
        <v>4583.33333333333</v>
      </c>
      <c r="AL23" s="46" t="n">
        <f aca="false">IF(AND(Assumptions!$B$86=1,Q23&lt;&gt;""),Assumptions!$B$87/12,0)</f>
        <v>0</v>
      </c>
    </row>
    <row r="24" customFormat="false" ht="15" hidden="false" customHeight="true" outlineLevel="0" collapsed="false">
      <c r="A24" s="34" t="n">
        <v>23</v>
      </c>
      <c r="B24" s="8" t="s">
        <v>206</v>
      </c>
      <c r="C24" s="34" t="n">
        <f aca="false">IF(A24&lt;=12,1,IF(A24&lt;=24,2,IF(A24&lt;=36,3,4)))</f>
        <v>2</v>
      </c>
      <c r="D24" s="8" t="str">
        <f aca="false">IF(A24&lt;=6,"P1: Pilot-&gt;Seed",IF(A24&lt;=18,"P2: Scale/Series A",IF(A24&lt;=36,"P3: Post-Series A","P4: Maturity")))</f>
        <v>P3: Post-Series A</v>
      </c>
      <c r="E24" s="35" t="n">
        <f aca="false">IF(C24=1,Assumptions!$B$5,IF(C24=2,Assumptions!$B$6,IF(C24=3,Assumptions!$B$7,Assumptions!$B$8)))</f>
        <v>4500</v>
      </c>
      <c r="F24" s="36" t="n">
        <f aca="false">IF(A24&lt;=6,Assumptions!$B$14,IF(A24&lt;=18,Assumptions!$B$15,IF(A24&lt;=36,Assumptions!$B$16,Assumptions!$B$17)))</f>
        <v>0.08</v>
      </c>
      <c r="G24" s="37" t="n">
        <f aca="false">ROUND(MAX(I23,1)*F24,0)</f>
        <v>5</v>
      </c>
      <c r="H24" s="37" t="n">
        <f aca="false">ROUND(I23*Assumptions!$B$18,0)</f>
        <v>1</v>
      </c>
      <c r="I24" s="37" t="n">
        <f aca="false">MIN(I23+G24-H24,E24)</f>
        <v>69</v>
      </c>
      <c r="J24" s="36" t="n">
        <f aca="false">Assumptions!$B$25</f>
        <v>1</v>
      </c>
      <c r="K24" s="38" t="n">
        <f aca="false">I24*J24</f>
        <v>69</v>
      </c>
      <c r="L24" s="39" t="n">
        <f aca="false">Assumptions!$B$10*(1-Assumptions!$B$12)+Assumptions!$B$11*Assumptions!$B$12</f>
        <v>46.06</v>
      </c>
      <c r="M24" s="18" t="n">
        <f aca="false">K24*L24</f>
        <v>3178.14</v>
      </c>
      <c r="N24" s="40" t="n">
        <f aca="false">((IF(A24&lt;=Assumptions!$B$91,Assumptions!$B$90,IF(A24&gt;=Assumptions!$B$92,1,Assumptions!$B$90+(1-Assumptions!$B$90)*(A24-Assumptions!$B$91)/(Assumptions!$B$92-Assumptions!$B$91))))*Assumptions!$B$81*Assumptions!$B$75+Assumptions!$B$82)*(1+Assumptions!$B$83)/12</f>
        <v>28270.8333333333</v>
      </c>
      <c r="O24" s="18" t="n">
        <f aca="false">M24*Assumptions!$B$33</f>
        <v>2701.419</v>
      </c>
      <c r="P24" s="18" t="n">
        <f aca="false">O24-N24</f>
        <v>-25569.4143333333</v>
      </c>
      <c r="Q24" s="1" t="n">
        <f aca="false">IF(A24&gt;=Assumptions!$B$45,A24-Assumptions!$B$45+1,"")</f>
        <v>11</v>
      </c>
      <c r="R24" s="1" t="str">
        <f aca="false">IF(Q24="","Not yet launched",IF(Q24&lt;=6,"CP1: Launch",IF(Q24&lt;=18,"CP2: Scale",IF(Q24&lt;=36,"CP3: Mature","CP4: Steady"))))</f>
        <v>CP2: Scale</v>
      </c>
      <c r="S24" s="41" t="n">
        <f aca="false">IF(Q24="",0,Assumptions!$B$46)</f>
        <v>2000</v>
      </c>
      <c r="T24" s="42" t="n">
        <f aca="false">IF(Q24="",0,IF(Q24&lt;=6,Assumptions!$B$14,IF(Q24&lt;=18,Assumptions!$B$15,IF(Q24&lt;=36,Assumptions!$B$16,Assumptions!$B$17))))</f>
        <v>0.14</v>
      </c>
      <c r="U24" s="41" t="n">
        <f aca="false">IF(Q24="",0,IF(Q24=1,Assumptions!$B$65,ROUND(MAX(W23,1)*T24,0)))</f>
        <v>2</v>
      </c>
      <c r="V24" s="41" t="n">
        <f aca="false">IF(Q24="",0,ROUND(W23*Assumptions!$B$49,0))</f>
        <v>0</v>
      </c>
      <c r="W24" s="41" t="n">
        <f aca="false">IF(Q24="",0,MIN(W23+U24-V24,S24))</f>
        <v>17</v>
      </c>
      <c r="X24" s="42" t="n">
        <f aca="false">IF(Q24="",0,Assumptions!$B$57)</f>
        <v>0.4</v>
      </c>
      <c r="Y24" s="43" t="n">
        <f aca="false">W24*X24</f>
        <v>6.8</v>
      </c>
      <c r="Z24" s="44" t="n">
        <f aca="false">L24</f>
        <v>46.06</v>
      </c>
      <c r="AA24" s="45" t="n">
        <f aca="false">Y24*Z24</f>
        <v>313.208</v>
      </c>
      <c r="AB24" s="45" t="n">
        <f aca="false">IF(A24=Assumptions!$B$45,Assumptions!$B$47+Assumptions!$B$48,IF(A24&gt;Assumptions!$B$45,Assumptions!$B$47,0))</f>
        <v>50</v>
      </c>
      <c r="AC24" s="45" t="n">
        <f aca="false">AA24*Assumptions!$B$33</f>
        <v>266.2268</v>
      </c>
      <c r="AD24" s="41" t="n">
        <f aca="false">I24+W24</f>
        <v>86</v>
      </c>
      <c r="AE24" s="45" t="n">
        <f aca="false">M24+AA24</f>
        <v>3491.348</v>
      </c>
      <c r="AF24" s="45" t="n">
        <f aca="false">N24+AB24+AJ24+AK24+AL24+Assumptions!$B$68</f>
        <v>33055.6966666667</v>
      </c>
      <c r="AG24" s="45" t="n">
        <f aca="false">O24+AC24</f>
        <v>2967.6458</v>
      </c>
      <c r="AH24" s="45" t="n">
        <f aca="false">AG24-AF24</f>
        <v>-30088.0508666667</v>
      </c>
      <c r="AI24" s="42" t="n">
        <f aca="false">IFERROR((AD24-AD23)/AD23,"")</f>
        <v>0.075</v>
      </c>
      <c r="AJ24" s="46" t="n">
        <f aca="false">MAX(Assumptions!$B$71,Assumptions!$B$69*0.5^(A24/Assumptions!$B$70))+Assumptions!$B$72*(K24+Y24)</f>
        <v>101.53</v>
      </c>
      <c r="AK24" s="46" t="n">
        <f aca="false">IF(AND(Assumptions!$B$76=1,A24&gt;=Assumptions!$B$77),Assumptions!$B$78/12,0)</f>
        <v>4583.33333333333</v>
      </c>
      <c r="AL24" s="46" t="n">
        <f aca="false">IF(AND(Assumptions!$B$86=1,Q24&lt;&gt;""),Assumptions!$B$87/12,0)</f>
        <v>0</v>
      </c>
    </row>
    <row r="25" customFormat="false" ht="15" hidden="false" customHeight="true" outlineLevel="0" collapsed="false">
      <c r="A25" s="34" t="n">
        <v>24</v>
      </c>
      <c r="B25" s="8" t="s">
        <v>207</v>
      </c>
      <c r="C25" s="34" t="n">
        <f aca="false">IF(A25&lt;=12,1,IF(A25&lt;=24,2,IF(A25&lt;=36,3,4)))</f>
        <v>2</v>
      </c>
      <c r="D25" s="8" t="str">
        <f aca="false">IF(A25&lt;=6,"P1: Pilot-&gt;Seed",IF(A25&lt;=18,"P2: Scale/Series A",IF(A25&lt;=36,"P3: Post-Series A","P4: Maturity")))</f>
        <v>P3: Post-Series A</v>
      </c>
      <c r="E25" s="35" t="n">
        <f aca="false">IF(C25=1,Assumptions!$B$5,IF(C25=2,Assumptions!$B$6,IF(C25=3,Assumptions!$B$7,Assumptions!$B$8)))</f>
        <v>4500</v>
      </c>
      <c r="F25" s="36" t="n">
        <f aca="false">IF(A25&lt;=6,Assumptions!$B$14,IF(A25&lt;=18,Assumptions!$B$15,IF(A25&lt;=36,Assumptions!$B$16,Assumptions!$B$17)))</f>
        <v>0.08</v>
      </c>
      <c r="G25" s="37" t="n">
        <f aca="false">ROUND(MAX(I24,1)*F25,0)</f>
        <v>6</v>
      </c>
      <c r="H25" s="37" t="n">
        <f aca="false">ROUND(I24*Assumptions!$B$18,0)</f>
        <v>1</v>
      </c>
      <c r="I25" s="37" t="n">
        <f aca="false">MIN(I24+G25-H25,E25)</f>
        <v>74</v>
      </c>
      <c r="J25" s="36" t="n">
        <f aca="false">Assumptions!$B$26</f>
        <v>1</v>
      </c>
      <c r="K25" s="38" t="n">
        <f aca="false">I25*J25</f>
        <v>74</v>
      </c>
      <c r="L25" s="39" t="n">
        <f aca="false">Assumptions!$B$10*(1-Assumptions!$B$12)+Assumptions!$B$11*Assumptions!$B$12</f>
        <v>46.06</v>
      </c>
      <c r="M25" s="18" t="n">
        <f aca="false">K25*L25</f>
        <v>3408.44</v>
      </c>
      <c r="N25" s="40" t="n">
        <f aca="false">((IF(A25&lt;=Assumptions!$B$91,Assumptions!$B$90,IF(A25&gt;=Assumptions!$B$92,1,Assumptions!$B$90+(1-Assumptions!$B$90)*(A25-Assumptions!$B$91)/(Assumptions!$B$92-Assumptions!$B$91))))*Assumptions!$B$81*Assumptions!$B$75+Assumptions!$B$82)*(1+Assumptions!$B$83)/12</f>
        <v>28270.8333333333</v>
      </c>
      <c r="O25" s="18" t="n">
        <f aca="false">M25*Assumptions!$B$33</f>
        <v>2897.174</v>
      </c>
      <c r="P25" s="18" t="n">
        <f aca="false">O25-N25</f>
        <v>-25373.6593333333</v>
      </c>
      <c r="Q25" s="1" t="n">
        <f aca="false">IF(A25&gt;=Assumptions!$B$45,A25-Assumptions!$B$45+1,"")</f>
        <v>12</v>
      </c>
      <c r="R25" s="1" t="str">
        <f aca="false">IF(Q25="","Not yet launched",IF(Q25&lt;=6,"CP1: Launch",IF(Q25&lt;=18,"CP2: Scale",IF(Q25&lt;=36,"CP3: Mature","CP4: Steady"))))</f>
        <v>CP2: Scale</v>
      </c>
      <c r="S25" s="41" t="n">
        <f aca="false">IF(Q25="",0,Assumptions!$B$46)</f>
        <v>2000</v>
      </c>
      <c r="T25" s="42" t="n">
        <f aca="false">IF(Q25="",0,IF(Q25&lt;=6,Assumptions!$B$14,IF(Q25&lt;=18,Assumptions!$B$15,IF(Q25&lt;=36,Assumptions!$B$16,Assumptions!$B$17))))</f>
        <v>0.14</v>
      </c>
      <c r="U25" s="41" t="n">
        <f aca="false">IF(Q25="",0,IF(Q25=1,Assumptions!$B$65,ROUND(MAX(W24,1)*T25,0)))</f>
        <v>2</v>
      </c>
      <c r="V25" s="41" t="n">
        <f aca="false">IF(Q25="",0,ROUND(W24*Assumptions!$B$49,0))</f>
        <v>0</v>
      </c>
      <c r="W25" s="41" t="n">
        <f aca="false">IF(Q25="",0,MIN(W24+U25-V25,S25))</f>
        <v>19</v>
      </c>
      <c r="X25" s="42" t="n">
        <f aca="false">IF(Q25="",0,Assumptions!$B$58)</f>
        <v>0.35</v>
      </c>
      <c r="Y25" s="43" t="n">
        <f aca="false">W25*X25</f>
        <v>6.65</v>
      </c>
      <c r="Z25" s="44" t="n">
        <f aca="false">L25</f>
        <v>46.06</v>
      </c>
      <c r="AA25" s="45" t="n">
        <f aca="false">Y25*Z25</f>
        <v>306.299</v>
      </c>
      <c r="AB25" s="45" t="n">
        <f aca="false">IF(A25=Assumptions!$B$45,Assumptions!$B$47+Assumptions!$B$48,IF(A25&gt;Assumptions!$B$45,Assumptions!$B$47,0))</f>
        <v>50</v>
      </c>
      <c r="AC25" s="45" t="n">
        <f aca="false">AA25*Assumptions!$B$33</f>
        <v>260.35415</v>
      </c>
      <c r="AD25" s="41" t="n">
        <f aca="false">I25+W25</f>
        <v>93</v>
      </c>
      <c r="AE25" s="45" t="n">
        <f aca="false">M25+AA25</f>
        <v>3714.739</v>
      </c>
      <c r="AF25" s="45" t="n">
        <f aca="false">N25+AB25+AJ25+AK25+AL25+Assumptions!$B$68</f>
        <v>33057.3941666667</v>
      </c>
      <c r="AG25" s="45" t="n">
        <f aca="false">O25+AC25</f>
        <v>3157.52815</v>
      </c>
      <c r="AH25" s="45" t="n">
        <f aca="false">AG25-AF25</f>
        <v>-29899.8660166667</v>
      </c>
      <c r="AI25" s="42" t="n">
        <f aca="false">IFERROR((AD25-AD24)/AD24,"")</f>
        <v>0.0813953488372093</v>
      </c>
      <c r="AJ25" s="46" t="n">
        <f aca="false">MAX(Assumptions!$B$71,Assumptions!$B$69*0.5^(A25/Assumptions!$B$70))+Assumptions!$B$72*(K25+Y25)</f>
        <v>103.2275</v>
      </c>
      <c r="AK25" s="46" t="n">
        <f aca="false">IF(AND(Assumptions!$B$76=1,A25&gt;=Assumptions!$B$77),Assumptions!$B$78/12,0)</f>
        <v>4583.33333333333</v>
      </c>
      <c r="AL25" s="46" t="n">
        <f aca="false">IF(AND(Assumptions!$B$86=1,Q25&lt;&gt;""),Assumptions!$B$87/12,0)</f>
        <v>0</v>
      </c>
    </row>
    <row r="26" customFormat="false" ht="15" hidden="false" customHeight="true" outlineLevel="0" collapsed="false">
      <c r="A26" s="34" t="n">
        <v>25</v>
      </c>
      <c r="B26" s="8" t="s">
        <v>208</v>
      </c>
      <c r="C26" s="34" t="n">
        <f aca="false">IF(A26&lt;=12,1,IF(A26&lt;=24,2,IF(A26&lt;=36,3,4)))</f>
        <v>3</v>
      </c>
      <c r="D26" s="8" t="str">
        <f aca="false">IF(A26&lt;=6,"P1: Pilot-&gt;Seed",IF(A26&lt;=18,"P2: Scale/Series A",IF(A26&lt;=36,"P3: Post-Series A","P4: Maturity")))</f>
        <v>P3: Post-Series A</v>
      </c>
      <c r="E26" s="35" t="n">
        <f aca="false">IF(C26=1,Assumptions!$B$5,IF(C26=2,Assumptions!$B$6,IF(C26=3,Assumptions!$B$7,Assumptions!$B$8)))</f>
        <v>9000</v>
      </c>
      <c r="F26" s="36" t="n">
        <f aca="false">IF(A26&lt;=6,Assumptions!$B$14,IF(A26&lt;=18,Assumptions!$B$15,IF(A26&lt;=36,Assumptions!$B$16,Assumptions!$B$17)))</f>
        <v>0.08</v>
      </c>
      <c r="G26" s="37" t="n">
        <f aca="false">ROUND(MAX(I25,1)*F26,0)</f>
        <v>6</v>
      </c>
      <c r="H26" s="37" t="n">
        <f aca="false">ROUND(I25*Assumptions!$B$18,0)</f>
        <v>1</v>
      </c>
      <c r="I26" s="37" t="n">
        <f aca="false">MIN(I25+G26-H26,E26)</f>
        <v>79</v>
      </c>
      <c r="J26" s="36" t="n">
        <f aca="false">Assumptions!$B$27</f>
        <v>1</v>
      </c>
      <c r="K26" s="38" t="n">
        <f aca="false">I26*J26</f>
        <v>79</v>
      </c>
      <c r="L26" s="39" t="n">
        <f aca="false">Assumptions!$B$10*(1-Assumptions!$B$12)+Assumptions!$B$11*Assumptions!$B$12</f>
        <v>46.06</v>
      </c>
      <c r="M26" s="18" t="n">
        <f aca="false">K26*L26</f>
        <v>3638.74</v>
      </c>
      <c r="N26" s="40" t="n">
        <f aca="false">((IF(A26&lt;=Assumptions!$B$91,Assumptions!$B$90,IF(A26&gt;=Assumptions!$B$92,1,Assumptions!$B$90+(1-Assumptions!$B$90)*(A26-Assumptions!$B$91)/(Assumptions!$B$92-Assumptions!$B$91))))*Assumptions!$B$81*Assumptions!$B$75+Assumptions!$B$82)*(1+Assumptions!$B$83)/12</f>
        <v>28270.8333333333</v>
      </c>
      <c r="O26" s="18" t="n">
        <f aca="false">M26*Assumptions!$B$33</f>
        <v>3092.929</v>
      </c>
      <c r="P26" s="18" t="n">
        <f aca="false">O26-N26</f>
        <v>-25177.9043333333</v>
      </c>
      <c r="Q26" s="1" t="n">
        <f aca="false">IF(A26&gt;=Assumptions!$B$45,A26-Assumptions!$B$45+1,"")</f>
        <v>13</v>
      </c>
      <c r="R26" s="1" t="str">
        <f aca="false">IF(Q26="","Not yet launched",IF(Q26&lt;=6,"CP1: Launch",IF(Q26&lt;=18,"CP2: Scale",IF(Q26&lt;=36,"CP3: Mature","CP4: Steady"))))</f>
        <v>CP2: Scale</v>
      </c>
      <c r="S26" s="41" t="n">
        <f aca="false">IF(Q26="",0,Assumptions!$B$46)</f>
        <v>2000</v>
      </c>
      <c r="T26" s="42" t="n">
        <f aca="false">IF(Q26="",0,IF(Q26&lt;=6,Assumptions!$B$14,IF(Q26&lt;=18,Assumptions!$B$15,IF(Q26&lt;=36,Assumptions!$B$16,Assumptions!$B$17))))</f>
        <v>0.14</v>
      </c>
      <c r="U26" s="41" t="n">
        <f aca="false">IF(Q26="",0,IF(Q26=1,Assumptions!$B$65,ROUND(MAX(W25,1)*T26,0)))</f>
        <v>3</v>
      </c>
      <c r="V26" s="41" t="n">
        <f aca="false">IF(Q26="",0,ROUND(W25*Assumptions!$B$49,0))</f>
        <v>0</v>
      </c>
      <c r="W26" s="41" t="n">
        <f aca="false">IF(Q26="",0,MIN(W25+U26-V26,S26))</f>
        <v>22</v>
      </c>
      <c r="X26" s="42" t="n">
        <f aca="false">IF(Q26="",0,Assumptions!$B$59)</f>
        <v>0.35</v>
      </c>
      <c r="Y26" s="43" t="n">
        <f aca="false">W26*X26</f>
        <v>7.7</v>
      </c>
      <c r="Z26" s="44" t="n">
        <f aca="false">L26</f>
        <v>46.06</v>
      </c>
      <c r="AA26" s="45" t="n">
        <f aca="false">Y26*Z26</f>
        <v>354.662</v>
      </c>
      <c r="AB26" s="45" t="n">
        <f aca="false">IF(A26=Assumptions!$B$45,Assumptions!$B$47+Assumptions!$B$48,IF(A26&gt;Assumptions!$B$45,Assumptions!$B$47,0))</f>
        <v>50</v>
      </c>
      <c r="AC26" s="45" t="n">
        <f aca="false">AA26*Assumptions!$B$33</f>
        <v>301.4627</v>
      </c>
      <c r="AD26" s="41" t="n">
        <f aca="false">I26+W26</f>
        <v>101</v>
      </c>
      <c r="AE26" s="45" t="n">
        <f aca="false">M26+AA26</f>
        <v>3993.402</v>
      </c>
      <c r="AF26" s="45" t="n">
        <f aca="false">N26+AB26+AJ26+AK26+AL26+Assumptions!$B$68</f>
        <v>33059.5116666667</v>
      </c>
      <c r="AG26" s="45" t="n">
        <f aca="false">O26+AC26</f>
        <v>3394.3917</v>
      </c>
      <c r="AH26" s="45" t="n">
        <f aca="false">AG26-AF26</f>
        <v>-29665.1199666667</v>
      </c>
      <c r="AI26" s="42" t="n">
        <f aca="false">IFERROR((AD26-AD25)/AD25,"")</f>
        <v>0.0860215053763441</v>
      </c>
      <c r="AJ26" s="46" t="n">
        <f aca="false">MAX(Assumptions!$B$71,Assumptions!$B$69*0.5^(A26/Assumptions!$B$70))+Assumptions!$B$72*(K26+Y26)</f>
        <v>105.345</v>
      </c>
      <c r="AK26" s="46" t="n">
        <f aca="false">IF(AND(Assumptions!$B$76=1,A26&gt;=Assumptions!$B$77),Assumptions!$B$78/12,0)</f>
        <v>4583.33333333333</v>
      </c>
      <c r="AL26" s="46" t="n">
        <f aca="false">IF(AND(Assumptions!$B$86=1,Q26&lt;&gt;""),Assumptions!$B$87/12,0)</f>
        <v>0</v>
      </c>
    </row>
    <row r="27" customFormat="false" ht="15" hidden="false" customHeight="true" outlineLevel="0" collapsed="false">
      <c r="A27" s="34" t="n">
        <v>26</v>
      </c>
      <c r="B27" s="8" t="s">
        <v>209</v>
      </c>
      <c r="C27" s="34" t="n">
        <f aca="false">IF(A27&lt;=12,1,IF(A27&lt;=24,2,IF(A27&lt;=36,3,4)))</f>
        <v>3</v>
      </c>
      <c r="D27" s="8" t="str">
        <f aca="false">IF(A27&lt;=6,"P1: Pilot-&gt;Seed",IF(A27&lt;=18,"P2: Scale/Series A",IF(A27&lt;=36,"P3: Post-Series A","P4: Maturity")))</f>
        <v>P3: Post-Series A</v>
      </c>
      <c r="E27" s="35" t="n">
        <f aca="false">IF(C27=1,Assumptions!$B$5,IF(C27=2,Assumptions!$B$6,IF(C27=3,Assumptions!$B$7,Assumptions!$B$8)))</f>
        <v>9000</v>
      </c>
      <c r="F27" s="36" t="n">
        <f aca="false">IF(A27&lt;=6,Assumptions!$B$14,IF(A27&lt;=18,Assumptions!$B$15,IF(A27&lt;=36,Assumptions!$B$16,Assumptions!$B$17)))</f>
        <v>0.08</v>
      </c>
      <c r="G27" s="37" t="n">
        <f aca="false">ROUND(MAX(I26,1)*F27,0)</f>
        <v>6</v>
      </c>
      <c r="H27" s="37" t="n">
        <f aca="false">ROUND(I26*Assumptions!$B$18,0)</f>
        <v>2</v>
      </c>
      <c r="I27" s="37" t="n">
        <f aca="false">MIN(I26+G27-H27,E27)</f>
        <v>83</v>
      </c>
      <c r="J27" s="36" t="n">
        <f aca="false">Assumptions!$B$28</f>
        <v>1</v>
      </c>
      <c r="K27" s="38" t="n">
        <f aca="false">I27*J27</f>
        <v>83</v>
      </c>
      <c r="L27" s="39" t="n">
        <f aca="false">Assumptions!$B$10*(1-Assumptions!$B$12)+Assumptions!$B$11*Assumptions!$B$12</f>
        <v>46.06</v>
      </c>
      <c r="M27" s="18" t="n">
        <f aca="false">K27*L27</f>
        <v>3822.98</v>
      </c>
      <c r="N27" s="40" t="n">
        <f aca="false">((IF(A27&lt;=Assumptions!$B$91,Assumptions!$B$90,IF(A27&gt;=Assumptions!$B$92,1,Assumptions!$B$90+(1-Assumptions!$B$90)*(A27-Assumptions!$B$91)/(Assumptions!$B$92-Assumptions!$B$91))))*Assumptions!$B$81*Assumptions!$B$75+Assumptions!$B$82)*(1+Assumptions!$B$83)/12</f>
        <v>28270.8333333333</v>
      </c>
      <c r="O27" s="18" t="n">
        <f aca="false">M27*Assumptions!$B$33</f>
        <v>3249.533</v>
      </c>
      <c r="P27" s="18" t="n">
        <f aca="false">O27-N27</f>
        <v>-25021.3003333333</v>
      </c>
      <c r="Q27" s="1" t="n">
        <f aca="false">IF(A27&gt;=Assumptions!$B$45,A27-Assumptions!$B$45+1,"")</f>
        <v>14</v>
      </c>
      <c r="R27" s="1" t="str">
        <f aca="false">IF(Q27="","Not yet launched",IF(Q27&lt;=6,"CP1: Launch",IF(Q27&lt;=18,"CP2: Scale",IF(Q27&lt;=36,"CP3: Mature","CP4: Steady"))))</f>
        <v>CP2: Scale</v>
      </c>
      <c r="S27" s="41" t="n">
        <f aca="false">IF(Q27="",0,Assumptions!$B$46)</f>
        <v>2000</v>
      </c>
      <c r="T27" s="42" t="n">
        <f aca="false">IF(Q27="",0,IF(Q27&lt;=6,Assumptions!$B$14,IF(Q27&lt;=18,Assumptions!$B$15,IF(Q27&lt;=36,Assumptions!$B$16,Assumptions!$B$17))))</f>
        <v>0.14</v>
      </c>
      <c r="U27" s="41" t="n">
        <f aca="false">IF(Q27="",0,IF(Q27=1,Assumptions!$B$65,ROUND(MAX(W26,1)*T27,0)))</f>
        <v>3</v>
      </c>
      <c r="V27" s="41" t="n">
        <f aca="false">IF(Q27="",0,ROUND(W26*Assumptions!$B$49,0))</f>
        <v>0</v>
      </c>
      <c r="W27" s="41" t="n">
        <f aca="false">IF(Q27="",0,MIN(W26+U27-V27,S27))</f>
        <v>25</v>
      </c>
      <c r="X27" s="42" t="n">
        <f aca="false">IF(Q27="",0,Assumptions!$B$60)</f>
        <v>0.35</v>
      </c>
      <c r="Y27" s="43" t="n">
        <f aca="false">W27*X27</f>
        <v>8.75</v>
      </c>
      <c r="Z27" s="44" t="n">
        <f aca="false">L27</f>
        <v>46.06</v>
      </c>
      <c r="AA27" s="45" t="n">
        <f aca="false">Y27*Z27</f>
        <v>403.025</v>
      </c>
      <c r="AB27" s="45" t="n">
        <f aca="false">IF(A27=Assumptions!$B$45,Assumptions!$B$47+Assumptions!$B$48,IF(A27&gt;Assumptions!$B$45,Assumptions!$B$47,0))</f>
        <v>50</v>
      </c>
      <c r="AC27" s="45" t="n">
        <f aca="false">AA27*Assumptions!$B$33</f>
        <v>342.57125</v>
      </c>
      <c r="AD27" s="41" t="n">
        <f aca="false">I27+W27</f>
        <v>108</v>
      </c>
      <c r="AE27" s="45" t="n">
        <f aca="false">M27+AA27</f>
        <v>4226.005</v>
      </c>
      <c r="AF27" s="45" t="n">
        <f aca="false">N27+AB27+AJ27+AK27+AL27+Assumptions!$B$68</f>
        <v>33061.2791666667</v>
      </c>
      <c r="AG27" s="45" t="n">
        <f aca="false">O27+AC27</f>
        <v>3592.10425</v>
      </c>
      <c r="AH27" s="45" t="n">
        <f aca="false">AG27-AF27</f>
        <v>-29469.1749166667</v>
      </c>
      <c r="AI27" s="42" t="n">
        <f aca="false">IFERROR((AD27-AD26)/AD26,"")</f>
        <v>0.0693069306930693</v>
      </c>
      <c r="AJ27" s="46" t="n">
        <f aca="false">MAX(Assumptions!$B$71,Assumptions!$B$69*0.5^(A27/Assumptions!$B$70))+Assumptions!$B$72*(K27+Y27)</f>
        <v>107.1125</v>
      </c>
      <c r="AK27" s="46" t="n">
        <f aca="false">IF(AND(Assumptions!$B$76=1,A27&gt;=Assumptions!$B$77),Assumptions!$B$78/12,0)</f>
        <v>4583.33333333333</v>
      </c>
      <c r="AL27" s="46" t="n">
        <f aca="false">IF(AND(Assumptions!$B$86=1,Q27&lt;&gt;""),Assumptions!$B$87/12,0)</f>
        <v>0</v>
      </c>
    </row>
    <row r="28" customFormat="false" ht="15" hidden="false" customHeight="true" outlineLevel="0" collapsed="false">
      <c r="A28" s="34" t="n">
        <v>27</v>
      </c>
      <c r="B28" s="8" t="s">
        <v>210</v>
      </c>
      <c r="C28" s="34" t="n">
        <f aca="false">IF(A28&lt;=12,1,IF(A28&lt;=24,2,IF(A28&lt;=36,3,4)))</f>
        <v>3</v>
      </c>
      <c r="D28" s="8" t="str">
        <f aca="false">IF(A28&lt;=6,"P1: Pilot-&gt;Seed",IF(A28&lt;=18,"P2: Scale/Series A",IF(A28&lt;=36,"P3: Post-Series A","P4: Maturity")))</f>
        <v>P3: Post-Series A</v>
      </c>
      <c r="E28" s="35" t="n">
        <f aca="false">IF(C28=1,Assumptions!$B$5,IF(C28=2,Assumptions!$B$6,IF(C28=3,Assumptions!$B$7,Assumptions!$B$8)))</f>
        <v>9000</v>
      </c>
      <c r="F28" s="36" t="n">
        <f aca="false">IF(A28&lt;=6,Assumptions!$B$14,IF(A28&lt;=18,Assumptions!$B$15,IF(A28&lt;=36,Assumptions!$B$16,Assumptions!$B$17)))</f>
        <v>0.08</v>
      </c>
      <c r="G28" s="37" t="n">
        <f aca="false">ROUND(MAX(I27,1)*F28,0)</f>
        <v>7</v>
      </c>
      <c r="H28" s="37" t="n">
        <f aca="false">ROUND(I27*Assumptions!$B$18,0)</f>
        <v>2</v>
      </c>
      <c r="I28" s="37" t="n">
        <f aca="false">MIN(I27+G28-H28,E28)</f>
        <v>88</v>
      </c>
      <c r="J28" s="36" t="n">
        <f aca="false">Assumptions!$B$29</f>
        <v>0.85</v>
      </c>
      <c r="K28" s="38" t="n">
        <f aca="false">I28*J28</f>
        <v>74.8</v>
      </c>
      <c r="L28" s="39" t="n">
        <f aca="false">Assumptions!$B$10*(1-Assumptions!$B$12)+Assumptions!$B$11*Assumptions!$B$12</f>
        <v>46.06</v>
      </c>
      <c r="M28" s="18" t="n">
        <f aca="false">K28*L28</f>
        <v>3445.288</v>
      </c>
      <c r="N28" s="40" t="n">
        <f aca="false">((IF(A28&lt;=Assumptions!$B$91,Assumptions!$B$90,IF(A28&gt;=Assumptions!$B$92,1,Assumptions!$B$90+(1-Assumptions!$B$90)*(A28-Assumptions!$B$91)/(Assumptions!$B$92-Assumptions!$B$91))))*Assumptions!$B$81*Assumptions!$B$75+Assumptions!$B$82)*(1+Assumptions!$B$83)/12</f>
        <v>28270.8333333333</v>
      </c>
      <c r="O28" s="18" t="n">
        <f aca="false">M28*Assumptions!$B$33</f>
        <v>2928.4948</v>
      </c>
      <c r="P28" s="18" t="n">
        <f aca="false">O28-N28</f>
        <v>-25342.3385333333</v>
      </c>
      <c r="Q28" s="1" t="n">
        <f aca="false">IF(A28&gt;=Assumptions!$B$45,A28-Assumptions!$B$45+1,"")</f>
        <v>15</v>
      </c>
      <c r="R28" s="1" t="str">
        <f aca="false">IF(Q28="","Not yet launched",IF(Q28&lt;=6,"CP1: Launch",IF(Q28&lt;=18,"CP2: Scale",IF(Q28&lt;=36,"CP3: Mature","CP4: Steady"))))</f>
        <v>CP2: Scale</v>
      </c>
      <c r="S28" s="41" t="n">
        <f aca="false">IF(Q28="",0,Assumptions!$B$46)</f>
        <v>2000</v>
      </c>
      <c r="T28" s="42" t="n">
        <f aca="false">IF(Q28="",0,IF(Q28&lt;=6,Assumptions!$B$14,IF(Q28&lt;=18,Assumptions!$B$15,IF(Q28&lt;=36,Assumptions!$B$16,Assumptions!$B$17))))</f>
        <v>0.14</v>
      </c>
      <c r="U28" s="41" t="n">
        <f aca="false">IF(Q28="",0,IF(Q28=1,Assumptions!$B$65,ROUND(MAX(W27,1)*T28,0)))</f>
        <v>4</v>
      </c>
      <c r="V28" s="41" t="n">
        <f aca="false">IF(Q28="",0,ROUND(W27*Assumptions!$B$49,0))</f>
        <v>1</v>
      </c>
      <c r="W28" s="41" t="n">
        <f aca="false">IF(Q28="",0,MIN(W27+U28-V28,S28))</f>
        <v>28</v>
      </c>
      <c r="X28" s="42" t="n">
        <f aca="false">IF(Q28="",0,Assumptions!$B$61)</f>
        <v>0.4</v>
      </c>
      <c r="Y28" s="43" t="n">
        <f aca="false">W28*X28</f>
        <v>11.2</v>
      </c>
      <c r="Z28" s="44" t="n">
        <f aca="false">L28</f>
        <v>46.06</v>
      </c>
      <c r="AA28" s="45" t="n">
        <f aca="false">Y28*Z28</f>
        <v>515.872</v>
      </c>
      <c r="AB28" s="45" t="n">
        <f aca="false">IF(A28=Assumptions!$B$45,Assumptions!$B$47+Assumptions!$B$48,IF(A28&gt;Assumptions!$B$45,Assumptions!$B$47,0))</f>
        <v>50</v>
      </c>
      <c r="AC28" s="45" t="n">
        <f aca="false">AA28*Assumptions!$B$33</f>
        <v>438.4912</v>
      </c>
      <c r="AD28" s="41" t="n">
        <f aca="false">I28+W28</f>
        <v>116</v>
      </c>
      <c r="AE28" s="45" t="n">
        <f aca="false">M28+AA28</f>
        <v>3961.16</v>
      </c>
      <c r="AF28" s="45" t="n">
        <f aca="false">N28+AB28+AJ28+AK28+AL28+Assumptions!$B$68</f>
        <v>33059.2666666667</v>
      </c>
      <c r="AG28" s="45" t="n">
        <f aca="false">O28+AC28</f>
        <v>3366.986</v>
      </c>
      <c r="AH28" s="45" t="n">
        <f aca="false">AG28-AF28</f>
        <v>-29692.2806666667</v>
      </c>
      <c r="AI28" s="42" t="n">
        <f aca="false">IFERROR((AD28-AD27)/AD27,"")</f>
        <v>0.0740740740740741</v>
      </c>
      <c r="AJ28" s="46" t="n">
        <f aca="false">MAX(Assumptions!$B$71,Assumptions!$B$69*0.5^(A28/Assumptions!$B$70))+Assumptions!$B$72*(K28+Y28)</f>
        <v>105.1</v>
      </c>
      <c r="AK28" s="46" t="n">
        <f aca="false">IF(AND(Assumptions!$B$76=1,A28&gt;=Assumptions!$B$77),Assumptions!$B$78/12,0)</f>
        <v>4583.33333333333</v>
      </c>
      <c r="AL28" s="46" t="n">
        <f aca="false">IF(AND(Assumptions!$B$86=1,Q28&lt;&gt;""),Assumptions!$B$87/12,0)</f>
        <v>0</v>
      </c>
    </row>
    <row r="29" customFormat="false" ht="15" hidden="false" customHeight="true" outlineLevel="0" collapsed="false">
      <c r="A29" s="34" t="n">
        <v>28</v>
      </c>
      <c r="B29" s="8" t="s">
        <v>211</v>
      </c>
      <c r="C29" s="34" t="n">
        <f aca="false">IF(A29&lt;=12,1,IF(A29&lt;=24,2,IF(A29&lt;=36,3,4)))</f>
        <v>3</v>
      </c>
      <c r="D29" s="8" t="str">
        <f aca="false">IF(A29&lt;=6,"P1: Pilot-&gt;Seed",IF(A29&lt;=18,"P2: Scale/Series A",IF(A29&lt;=36,"P3: Post-Series A","P4: Maturity")))</f>
        <v>P3: Post-Series A</v>
      </c>
      <c r="E29" s="35" t="n">
        <f aca="false">IF(C29=1,Assumptions!$B$5,IF(C29=2,Assumptions!$B$6,IF(C29=3,Assumptions!$B$7,Assumptions!$B$8)))</f>
        <v>9000</v>
      </c>
      <c r="F29" s="36" t="n">
        <f aca="false">IF(A29&lt;=6,Assumptions!$B$14,IF(A29&lt;=18,Assumptions!$B$15,IF(A29&lt;=36,Assumptions!$B$16,Assumptions!$B$17)))</f>
        <v>0.08</v>
      </c>
      <c r="G29" s="37" t="n">
        <f aca="false">ROUND(MAX(I28,1)*F29,0)</f>
        <v>7</v>
      </c>
      <c r="H29" s="37" t="n">
        <f aca="false">ROUND(I28*Assumptions!$B$18,0)</f>
        <v>2</v>
      </c>
      <c r="I29" s="37" t="n">
        <f aca="false">MIN(I28+G29-H29,E29)</f>
        <v>93</v>
      </c>
      <c r="J29" s="36" t="n">
        <f aca="false">Assumptions!$B$30</f>
        <v>0.45</v>
      </c>
      <c r="K29" s="38" t="n">
        <f aca="false">I29*J29</f>
        <v>41.85</v>
      </c>
      <c r="L29" s="39" t="n">
        <f aca="false">Assumptions!$B$10*(1-Assumptions!$B$12)+Assumptions!$B$11*Assumptions!$B$12</f>
        <v>46.06</v>
      </c>
      <c r="M29" s="18" t="n">
        <f aca="false">K29*L29</f>
        <v>1927.611</v>
      </c>
      <c r="N29" s="40" t="n">
        <f aca="false">((IF(A29&lt;=Assumptions!$B$91,Assumptions!$B$90,IF(A29&gt;=Assumptions!$B$92,1,Assumptions!$B$90+(1-Assumptions!$B$90)*(A29-Assumptions!$B$91)/(Assumptions!$B$92-Assumptions!$B$91))))*Assumptions!$B$81*Assumptions!$B$75+Assumptions!$B$82)*(1+Assumptions!$B$83)/12</f>
        <v>28270.8333333333</v>
      </c>
      <c r="O29" s="18" t="n">
        <f aca="false">M29*Assumptions!$B$33</f>
        <v>1638.46935</v>
      </c>
      <c r="P29" s="18" t="n">
        <f aca="false">O29-N29</f>
        <v>-26632.3639833333</v>
      </c>
      <c r="Q29" s="1" t="n">
        <f aca="false">IF(A29&gt;=Assumptions!$B$45,A29-Assumptions!$B$45+1,"")</f>
        <v>16</v>
      </c>
      <c r="R29" s="1" t="str">
        <f aca="false">IF(Q29="","Not yet launched",IF(Q29&lt;=6,"CP1: Launch",IF(Q29&lt;=18,"CP2: Scale",IF(Q29&lt;=36,"CP3: Mature","CP4: Steady"))))</f>
        <v>CP2: Scale</v>
      </c>
      <c r="S29" s="41" t="n">
        <f aca="false">IF(Q29="",0,Assumptions!$B$46)</f>
        <v>2000</v>
      </c>
      <c r="T29" s="42" t="n">
        <f aca="false">IF(Q29="",0,IF(Q29&lt;=6,Assumptions!$B$14,IF(Q29&lt;=18,Assumptions!$B$15,IF(Q29&lt;=36,Assumptions!$B$16,Assumptions!$B$17))))</f>
        <v>0.14</v>
      </c>
      <c r="U29" s="41" t="n">
        <f aca="false">IF(Q29="",0,IF(Q29=1,Assumptions!$B$65,ROUND(MAX(W28,1)*T29,0)))</f>
        <v>4</v>
      </c>
      <c r="V29" s="41" t="n">
        <f aca="false">IF(Q29="",0,ROUND(W28*Assumptions!$B$49,0))</f>
        <v>1</v>
      </c>
      <c r="W29" s="41" t="n">
        <f aca="false">IF(Q29="",0,MIN(W28+U29-V29,S29))</f>
        <v>31</v>
      </c>
      <c r="X29" s="42" t="n">
        <f aca="false">IF(Q29="",0,Assumptions!$B$62)</f>
        <v>0.55</v>
      </c>
      <c r="Y29" s="43" t="n">
        <f aca="false">W29*X29</f>
        <v>17.05</v>
      </c>
      <c r="Z29" s="44" t="n">
        <f aca="false">L29</f>
        <v>46.06</v>
      </c>
      <c r="AA29" s="45" t="n">
        <f aca="false">Y29*Z29</f>
        <v>785.323</v>
      </c>
      <c r="AB29" s="45" t="n">
        <f aca="false">IF(A29=Assumptions!$B$45,Assumptions!$B$47+Assumptions!$B$48,IF(A29&gt;Assumptions!$B$45,Assumptions!$B$47,0))</f>
        <v>50</v>
      </c>
      <c r="AC29" s="45" t="n">
        <f aca="false">AA29*Assumptions!$B$33</f>
        <v>667.52455</v>
      </c>
      <c r="AD29" s="41" t="n">
        <f aca="false">I29+W29</f>
        <v>124</v>
      </c>
      <c r="AE29" s="45" t="n">
        <f aca="false">M29+AA29</f>
        <v>2712.934</v>
      </c>
      <c r="AF29" s="45" t="n">
        <f aca="false">N29+AB29+AJ29+AK29+AL29+Assumptions!$B$68</f>
        <v>33049.7816666667</v>
      </c>
      <c r="AG29" s="45" t="n">
        <f aca="false">O29+AC29</f>
        <v>2305.9939</v>
      </c>
      <c r="AH29" s="45" t="n">
        <f aca="false">AG29-AF29</f>
        <v>-30743.7877666667</v>
      </c>
      <c r="AI29" s="42" t="n">
        <f aca="false">IFERROR((AD29-AD28)/AD28,"")</f>
        <v>0.0689655172413793</v>
      </c>
      <c r="AJ29" s="46" t="n">
        <f aca="false">MAX(Assumptions!$B$71,Assumptions!$B$69*0.5^(A29/Assumptions!$B$70))+Assumptions!$B$72*(K29+Y29)</f>
        <v>95.615</v>
      </c>
      <c r="AK29" s="46" t="n">
        <f aca="false">IF(AND(Assumptions!$B$76=1,A29&gt;=Assumptions!$B$77),Assumptions!$B$78/12,0)</f>
        <v>4583.33333333333</v>
      </c>
      <c r="AL29" s="46" t="n">
        <f aca="false">IF(AND(Assumptions!$B$86=1,Q29&lt;&gt;""),Assumptions!$B$87/12,0)</f>
        <v>0</v>
      </c>
    </row>
    <row r="30" customFormat="false" ht="15" hidden="false" customHeight="true" outlineLevel="0" collapsed="false">
      <c r="A30" s="34" t="n">
        <v>29</v>
      </c>
      <c r="B30" s="8" t="s">
        <v>212</v>
      </c>
      <c r="C30" s="34" t="n">
        <f aca="false">IF(A30&lt;=12,1,IF(A30&lt;=24,2,IF(A30&lt;=36,3,4)))</f>
        <v>3</v>
      </c>
      <c r="D30" s="8" t="str">
        <f aca="false">IF(A30&lt;=6,"P1: Pilot-&gt;Seed",IF(A30&lt;=18,"P2: Scale/Series A",IF(A30&lt;=36,"P3: Post-Series A","P4: Maturity")))</f>
        <v>P3: Post-Series A</v>
      </c>
      <c r="E30" s="35" t="n">
        <f aca="false">IF(C30=1,Assumptions!$B$5,IF(C30=2,Assumptions!$B$6,IF(C30=3,Assumptions!$B$7,Assumptions!$B$8)))</f>
        <v>9000</v>
      </c>
      <c r="F30" s="36" t="n">
        <f aca="false">IF(A30&lt;=6,Assumptions!$B$14,IF(A30&lt;=18,Assumptions!$B$15,IF(A30&lt;=36,Assumptions!$B$16,Assumptions!$B$17)))</f>
        <v>0.08</v>
      </c>
      <c r="G30" s="37" t="n">
        <f aca="false">ROUND(MAX(I29,1)*F30,0)</f>
        <v>7</v>
      </c>
      <c r="H30" s="37" t="n">
        <f aca="false">ROUND(I29*Assumptions!$B$18,0)</f>
        <v>2</v>
      </c>
      <c r="I30" s="37" t="n">
        <f aca="false">MIN(I29+G30-H30,E30)</f>
        <v>98</v>
      </c>
      <c r="J30" s="36" t="n">
        <f aca="false">Assumptions!$B$31</f>
        <v>0.35</v>
      </c>
      <c r="K30" s="38" t="n">
        <f aca="false">I30*J30</f>
        <v>34.3</v>
      </c>
      <c r="L30" s="39" t="n">
        <f aca="false">Assumptions!$B$10*(1-Assumptions!$B$12)+Assumptions!$B$11*Assumptions!$B$12</f>
        <v>46.06</v>
      </c>
      <c r="M30" s="18" t="n">
        <f aca="false">K30*L30</f>
        <v>1579.858</v>
      </c>
      <c r="N30" s="40" t="n">
        <f aca="false">((IF(A30&lt;=Assumptions!$B$91,Assumptions!$B$90,IF(A30&gt;=Assumptions!$B$92,1,Assumptions!$B$90+(1-Assumptions!$B$90)*(A30-Assumptions!$B$91)/(Assumptions!$B$92-Assumptions!$B$91))))*Assumptions!$B$81*Assumptions!$B$75+Assumptions!$B$82)*(1+Assumptions!$B$83)/12</f>
        <v>28270.8333333333</v>
      </c>
      <c r="O30" s="18" t="n">
        <f aca="false">M30*Assumptions!$B$33</f>
        <v>1342.8793</v>
      </c>
      <c r="P30" s="18" t="n">
        <f aca="false">O30-N30</f>
        <v>-26927.9540333333</v>
      </c>
      <c r="Q30" s="1" t="n">
        <f aca="false">IF(A30&gt;=Assumptions!$B$45,A30-Assumptions!$B$45+1,"")</f>
        <v>17</v>
      </c>
      <c r="R30" s="1" t="str">
        <f aca="false">IF(Q30="","Not yet launched",IF(Q30&lt;=6,"CP1: Launch",IF(Q30&lt;=18,"CP2: Scale",IF(Q30&lt;=36,"CP3: Mature","CP4: Steady"))))</f>
        <v>CP2: Scale</v>
      </c>
      <c r="S30" s="41" t="n">
        <f aca="false">IF(Q30="",0,Assumptions!$B$46)</f>
        <v>2000</v>
      </c>
      <c r="T30" s="42" t="n">
        <f aca="false">IF(Q30="",0,IF(Q30&lt;=6,Assumptions!$B$14,IF(Q30&lt;=18,Assumptions!$B$15,IF(Q30&lt;=36,Assumptions!$B$16,Assumptions!$B$17))))</f>
        <v>0.14</v>
      </c>
      <c r="U30" s="41" t="n">
        <f aca="false">IF(Q30="",0,IF(Q30=1,Assumptions!$B$65,ROUND(MAX(W29,1)*T30,0)))</f>
        <v>4</v>
      </c>
      <c r="V30" s="41" t="n">
        <f aca="false">IF(Q30="",0,ROUND(W29*Assumptions!$B$49,0))</f>
        <v>1</v>
      </c>
      <c r="W30" s="41" t="n">
        <f aca="false">IF(Q30="",0,MIN(W29+U30-V30,S30))</f>
        <v>34</v>
      </c>
      <c r="X30" s="42" t="n">
        <f aca="false">IF(Q30="",0,Assumptions!$B$63)</f>
        <v>0.9</v>
      </c>
      <c r="Y30" s="43" t="n">
        <f aca="false">W30*X30</f>
        <v>30.6</v>
      </c>
      <c r="Z30" s="44" t="n">
        <f aca="false">L30</f>
        <v>46.06</v>
      </c>
      <c r="AA30" s="45" t="n">
        <f aca="false">Y30*Z30</f>
        <v>1409.436</v>
      </c>
      <c r="AB30" s="45" t="n">
        <f aca="false">IF(A30=Assumptions!$B$45,Assumptions!$B$47+Assumptions!$B$48,IF(A30&gt;Assumptions!$B$45,Assumptions!$B$47,0))</f>
        <v>50</v>
      </c>
      <c r="AC30" s="45" t="n">
        <f aca="false">AA30*Assumptions!$B$33</f>
        <v>1198.0206</v>
      </c>
      <c r="AD30" s="41" t="n">
        <f aca="false">I30+W30</f>
        <v>132</v>
      </c>
      <c r="AE30" s="45" t="n">
        <f aca="false">M30+AA30</f>
        <v>2989.294</v>
      </c>
      <c r="AF30" s="45" t="n">
        <f aca="false">N30+AB30+AJ30+AK30+AL30+Assumptions!$B$68</f>
        <v>33051.8816666667</v>
      </c>
      <c r="AG30" s="45" t="n">
        <f aca="false">O30+AC30</f>
        <v>2540.8999</v>
      </c>
      <c r="AH30" s="45" t="n">
        <f aca="false">AG30-AF30</f>
        <v>-30510.9817666667</v>
      </c>
      <c r="AI30" s="42" t="n">
        <f aca="false">IFERROR((AD30-AD29)/AD29,"")</f>
        <v>0.0645161290322581</v>
      </c>
      <c r="AJ30" s="46" t="n">
        <f aca="false">MAX(Assumptions!$B$71,Assumptions!$B$69*0.5^(A30/Assumptions!$B$70))+Assumptions!$B$72*(K30+Y30)</f>
        <v>97.715</v>
      </c>
      <c r="AK30" s="46" t="n">
        <f aca="false">IF(AND(Assumptions!$B$76=1,A30&gt;=Assumptions!$B$77),Assumptions!$B$78/12,0)</f>
        <v>4583.33333333333</v>
      </c>
      <c r="AL30" s="46" t="n">
        <f aca="false">IF(AND(Assumptions!$B$86=1,Q30&lt;&gt;""),Assumptions!$B$87/12,0)</f>
        <v>0</v>
      </c>
    </row>
    <row r="31" customFormat="false" ht="15" hidden="false" customHeight="true" outlineLevel="0" collapsed="false">
      <c r="A31" s="34" t="n">
        <v>30</v>
      </c>
      <c r="B31" s="8" t="s">
        <v>213</v>
      </c>
      <c r="C31" s="34" t="n">
        <f aca="false">IF(A31&lt;=12,1,IF(A31&lt;=24,2,IF(A31&lt;=36,3,4)))</f>
        <v>3</v>
      </c>
      <c r="D31" s="8" t="str">
        <f aca="false">IF(A31&lt;=6,"P1: Pilot-&gt;Seed",IF(A31&lt;=18,"P2: Scale/Series A",IF(A31&lt;=36,"P3: Post-Series A","P4: Maturity")))</f>
        <v>P3: Post-Series A</v>
      </c>
      <c r="E31" s="35" t="n">
        <f aca="false">IF(C31=1,Assumptions!$B$5,IF(C31=2,Assumptions!$B$6,IF(C31=3,Assumptions!$B$7,Assumptions!$B$8)))</f>
        <v>9000</v>
      </c>
      <c r="F31" s="36" t="n">
        <f aca="false">IF(A31&lt;=6,Assumptions!$B$14,IF(A31&lt;=18,Assumptions!$B$15,IF(A31&lt;=36,Assumptions!$B$16,Assumptions!$B$17)))</f>
        <v>0.08</v>
      </c>
      <c r="G31" s="37" t="n">
        <f aca="false">ROUND(MAX(I30,1)*F31,0)</f>
        <v>8</v>
      </c>
      <c r="H31" s="37" t="n">
        <f aca="false">ROUND(I30*Assumptions!$B$18,0)</f>
        <v>2</v>
      </c>
      <c r="I31" s="37" t="n">
        <f aca="false">MIN(I30+G31-H31,E31)</f>
        <v>104</v>
      </c>
      <c r="J31" s="36" t="n">
        <f aca="false">Assumptions!$B$20</f>
        <v>0.35</v>
      </c>
      <c r="K31" s="38" t="n">
        <f aca="false">I31*J31</f>
        <v>36.4</v>
      </c>
      <c r="L31" s="39" t="n">
        <f aca="false">Assumptions!$B$10*(1-Assumptions!$B$12)+Assumptions!$B$11*Assumptions!$B$12</f>
        <v>46.06</v>
      </c>
      <c r="M31" s="18" t="n">
        <f aca="false">K31*L31</f>
        <v>1676.584</v>
      </c>
      <c r="N31" s="40" t="n">
        <f aca="false">((IF(A31&lt;=Assumptions!$B$91,Assumptions!$B$90,IF(A31&gt;=Assumptions!$B$92,1,Assumptions!$B$90+(1-Assumptions!$B$90)*(A31-Assumptions!$B$91)/(Assumptions!$B$92-Assumptions!$B$91))))*Assumptions!$B$81*Assumptions!$B$75+Assumptions!$B$82)*(1+Assumptions!$B$83)/12</f>
        <v>28270.8333333333</v>
      </c>
      <c r="O31" s="18" t="n">
        <f aca="false">M31*Assumptions!$B$33</f>
        <v>1425.0964</v>
      </c>
      <c r="P31" s="18" t="n">
        <f aca="false">O31-N31</f>
        <v>-26845.7369333333</v>
      </c>
      <c r="Q31" s="1" t="n">
        <f aca="false">IF(A31&gt;=Assumptions!$B$45,A31-Assumptions!$B$45+1,"")</f>
        <v>18</v>
      </c>
      <c r="R31" s="1" t="str">
        <f aca="false">IF(Q31="","Not yet launched",IF(Q31&lt;=6,"CP1: Launch",IF(Q31&lt;=18,"CP2: Scale",IF(Q31&lt;=36,"CP3: Mature","CP4: Steady"))))</f>
        <v>CP2: Scale</v>
      </c>
      <c r="S31" s="41" t="n">
        <f aca="false">IF(Q31="",0,Assumptions!$B$46)</f>
        <v>2000</v>
      </c>
      <c r="T31" s="42" t="n">
        <f aca="false">IF(Q31="",0,IF(Q31&lt;=6,Assumptions!$B$14,IF(Q31&lt;=18,Assumptions!$B$15,IF(Q31&lt;=36,Assumptions!$B$16,Assumptions!$B$17))))</f>
        <v>0.14</v>
      </c>
      <c r="U31" s="41" t="n">
        <f aca="false">IF(Q31="",0,IF(Q31=1,Assumptions!$B$65,ROUND(MAX(W30,1)*T31,0)))</f>
        <v>5</v>
      </c>
      <c r="V31" s="41" t="n">
        <f aca="false">IF(Q31="",0,ROUND(W30*Assumptions!$B$49,0))</f>
        <v>1</v>
      </c>
      <c r="W31" s="41" t="n">
        <f aca="false">IF(Q31="",0,MIN(W30+U31-V31,S31))</f>
        <v>38</v>
      </c>
      <c r="X31" s="42" t="n">
        <f aca="false">IF(Q31="",0,Assumptions!$B$52)</f>
        <v>1</v>
      </c>
      <c r="Y31" s="43" t="n">
        <f aca="false">W31*X31</f>
        <v>38</v>
      </c>
      <c r="Z31" s="44" t="n">
        <f aca="false">L31</f>
        <v>46.06</v>
      </c>
      <c r="AA31" s="45" t="n">
        <f aca="false">Y31*Z31</f>
        <v>1750.28</v>
      </c>
      <c r="AB31" s="45" t="n">
        <f aca="false">IF(A31=Assumptions!$B$45,Assumptions!$B$47+Assumptions!$B$48,IF(A31&gt;Assumptions!$B$45,Assumptions!$B$47,0))</f>
        <v>50</v>
      </c>
      <c r="AC31" s="45" t="n">
        <f aca="false">AA31*Assumptions!$B$33</f>
        <v>1487.738</v>
      </c>
      <c r="AD31" s="41" t="n">
        <f aca="false">I31+W31</f>
        <v>142</v>
      </c>
      <c r="AE31" s="45" t="n">
        <f aca="false">M31+AA31</f>
        <v>3426.864</v>
      </c>
      <c r="AF31" s="45" t="n">
        <f aca="false">N31+AB31+AJ31+AK31+AL31+Assumptions!$B$68</f>
        <v>33055.2066666667</v>
      </c>
      <c r="AG31" s="45" t="n">
        <f aca="false">O31+AC31</f>
        <v>2912.8344</v>
      </c>
      <c r="AH31" s="45" t="n">
        <f aca="false">AG31-AF31</f>
        <v>-30142.3722666667</v>
      </c>
      <c r="AI31" s="42" t="n">
        <f aca="false">IFERROR((AD31-AD30)/AD30,"")</f>
        <v>0.0757575757575758</v>
      </c>
      <c r="AJ31" s="46" t="n">
        <f aca="false">MAX(Assumptions!$B$71,Assumptions!$B$69*0.5^(A31/Assumptions!$B$70))+Assumptions!$B$72*(K31+Y31)</f>
        <v>101.04</v>
      </c>
      <c r="AK31" s="46" t="n">
        <f aca="false">IF(AND(Assumptions!$B$76=1,A31&gt;=Assumptions!$B$77),Assumptions!$B$78/12,0)</f>
        <v>4583.33333333333</v>
      </c>
      <c r="AL31" s="46" t="n">
        <f aca="false">IF(AND(Assumptions!$B$86=1,Q31&lt;&gt;""),Assumptions!$B$87/12,0)</f>
        <v>0</v>
      </c>
    </row>
    <row r="32" customFormat="false" ht="15" hidden="false" customHeight="true" outlineLevel="0" collapsed="false">
      <c r="A32" s="34" t="n">
        <v>31</v>
      </c>
      <c r="B32" s="8" t="s">
        <v>214</v>
      </c>
      <c r="C32" s="34" t="n">
        <f aca="false">IF(A32&lt;=12,1,IF(A32&lt;=24,2,IF(A32&lt;=36,3,4)))</f>
        <v>3</v>
      </c>
      <c r="D32" s="8" t="str">
        <f aca="false">IF(A32&lt;=6,"P1: Pilot-&gt;Seed",IF(A32&lt;=18,"P2: Scale/Series A",IF(A32&lt;=36,"P3: Post-Series A","P4: Maturity")))</f>
        <v>P3: Post-Series A</v>
      </c>
      <c r="E32" s="35" t="n">
        <f aca="false">IF(C32=1,Assumptions!$B$5,IF(C32=2,Assumptions!$B$6,IF(C32=3,Assumptions!$B$7,Assumptions!$B$8)))</f>
        <v>9000</v>
      </c>
      <c r="F32" s="36" t="n">
        <f aca="false">IF(A32&lt;=6,Assumptions!$B$14,IF(A32&lt;=18,Assumptions!$B$15,IF(A32&lt;=36,Assumptions!$B$16,Assumptions!$B$17)))</f>
        <v>0.08</v>
      </c>
      <c r="G32" s="37" t="n">
        <f aca="false">ROUND(MAX(I31,1)*F32,0)</f>
        <v>8</v>
      </c>
      <c r="H32" s="37" t="n">
        <f aca="false">ROUND(I31*Assumptions!$B$18,0)</f>
        <v>2</v>
      </c>
      <c r="I32" s="37" t="n">
        <f aca="false">MIN(I31+G32-H32,E32)</f>
        <v>110</v>
      </c>
      <c r="J32" s="36" t="n">
        <f aca="false">Assumptions!$B$21</f>
        <v>0.35</v>
      </c>
      <c r="K32" s="38" t="n">
        <f aca="false">I32*J32</f>
        <v>38.5</v>
      </c>
      <c r="L32" s="39" t="n">
        <f aca="false">Assumptions!$B$10*(1-Assumptions!$B$12)+Assumptions!$B$11*Assumptions!$B$12</f>
        <v>46.06</v>
      </c>
      <c r="M32" s="18" t="n">
        <f aca="false">K32*L32</f>
        <v>1773.31</v>
      </c>
      <c r="N32" s="40" t="n">
        <f aca="false">((IF(A32&lt;=Assumptions!$B$91,Assumptions!$B$90,IF(A32&gt;=Assumptions!$B$92,1,Assumptions!$B$90+(1-Assumptions!$B$90)*(A32-Assumptions!$B$91)/(Assumptions!$B$92-Assumptions!$B$91))))*Assumptions!$B$81*Assumptions!$B$75+Assumptions!$B$82)*(1+Assumptions!$B$83)/12</f>
        <v>28270.8333333333</v>
      </c>
      <c r="O32" s="18" t="n">
        <f aca="false">M32*Assumptions!$B$33</f>
        <v>1507.3135</v>
      </c>
      <c r="P32" s="18" t="n">
        <f aca="false">O32-N32</f>
        <v>-26763.5198333333</v>
      </c>
      <c r="Q32" s="1" t="n">
        <f aca="false">IF(A32&gt;=Assumptions!$B$45,A32-Assumptions!$B$45+1,"")</f>
        <v>19</v>
      </c>
      <c r="R32" s="1" t="str">
        <f aca="false">IF(Q32="","Not yet launched",IF(Q32&lt;=6,"CP1: Launch",IF(Q32&lt;=18,"CP2: Scale",IF(Q32&lt;=36,"CP3: Mature","CP4: Steady"))))</f>
        <v>CP3: Mature</v>
      </c>
      <c r="S32" s="41" t="n">
        <f aca="false">IF(Q32="",0,Assumptions!$B$46)</f>
        <v>2000</v>
      </c>
      <c r="T32" s="42" t="n">
        <f aca="false">IF(Q32="",0,IF(Q32&lt;=6,Assumptions!$B$14,IF(Q32&lt;=18,Assumptions!$B$15,IF(Q32&lt;=36,Assumptions!$B$16,Assumptions!$B$17))))</f>
        <v>0.08</v>
      </c>
      <c r="U32" s="41" t="n">
        <f aca="false">IF(Q32="",0,IF(Q32=1,Assumptions!$B$65,ROUND(MAX(W31,1)*T32,0)))</f>
        <v>3</v>
      </c>
      <c r="V32" s="41" t="n">
        <f aca="false">IF(Q32="",0,ROUND(W31*Assumptions!$B$49,0))</f>
        <v>1</v>
      </c>
      <c r="W32" s="41" t="n">
        <f aca="false">IF(Q32="",0,MIN(W31+U32-V32,S32))</f>
        <v>40</v>
      </c>
      <c r="X32" s="42" t="n">
        <f aca="false">IF(Q32="",0,Assumptions!$B$53)</f>
        <v>1</v>
      </c>
      <c r="Y32" s="43" t="n">
        <f aca="false">W32*X32</f>
        <v>40</v>
      </c>
      <c r="Z32" s="44" t="n">
        <f aca="false">L32</f>
        <v>46.06</v>
      </c>
      <c r="AA32" s="45" t="n">
        <f aca="false">Y32*Z32</f>
        <v>1842.4</v>
      </c>
      <c r="AB32" s="45" t="n">
        <f aca="false">IF(A32=Assumptions!$B$45,Assumptions!$B$47+Assumptions!$B$48,IF(A32&gt;Assumptions!$B$45,Assumptions!$B$47,0))</f>
        <v>50</v>
      </c>
      <c r="AC32" s="45" t="n">
        <f aca="false">AA32*Assumptions!$B$33</f>
        <v>1566.04</v>
      </c>
      <c r="AD32" s="41" t="n">
        <f aca="false">I32+W32</f>
        <v>150</v>
      </c>
      <c r="AE32" s="45" t="n">
        <f aca="false">M32+AA32</f>
        <v>3615.71</v>
      </c>
      <c r="AF32" s="45" t="n">
        <f aca="false">N32+AB32+AJ32+AK32+AL32+Assumptions!$B$68</f>
        <v>33056.6416666667</v>
      </c>
      <c r="AG32" s="45" t="n">
        <f aca="false">O32+AC32</f>
        <v>3073.3535</v>
      </c>
      <c r="AH32" s="45" t="n">
        <f aca="false">AG32-AF32</f>
        <v>-29983.2881666667</v>
      </c>
      <c r="AI32" s="42" t="n">
        <f aca="false">IFERROR((AD32-AD31)/AD31,"")</f>
        <v>0.0563380281690141</v>
      </c>
      <c r="AJ32" s="46" t="n">
        <f aca="false">MAX(Assumptions!$B$71,Assumptions!$B$69*0.5^(A32/Assumptions!$B$70))+Assumptions!$B$72*(K32+Y32)</f>
        <v>102.475</v>
      </c>
      <c r="AK32" s="46" t="n">
        <f aca="false">IF(AND(Assumptions!$B$76=1,A32&gt;=Assumptions!$B$77),Assumptions!$B$78/12,0)</f>
        <v>4583.33333333333</v>
      </c>
      <c r="AL32" s="46" t="n">
        <f aca="false">IF(AND(Assumptions!$B$86=1,Q32&lt;&gt;""),Assumptions!$B$87/12,0)</f>
        <v>0</v>
      </c>
    </row>
    <row r="33" customFormat="false" ht="15" hidden="false" customHeight="true" outlineLevel="0" collapsed="false">
      <c r="A33" s="34" t="n">
        <v>32</v>
      </c>
      <c r="B33" s="8" t="s">
        <v>215</v>
      </c>
      <c r="C33" s="34" t="n">
        <f aca="false">IF(A33&lt;=12,1,IF(A33&lt;=24,2,IF(A33&lt;=36,3,4)))</f>
        <v>3</v>
      </c>
      <c r="D33" s="8" t="str">
        <f aca="false">IF(A33&lt;=6,"P1: Pilot-&gt;Seed",IF(A33&lt;=18,"P2: Scale/Series A",IF(A33&lt;=36,"P3: Post-Series A","P4: Maturity")))</f>
        <v>P3: Post-Series A</v>
      </c>
      <c r="E33" s="35" t="n">
        <f aca="false">IF(C33=1,Assumptions!$B$5,IF(C33=2,Assumptions!$B$6,IF(C33=3,Assumptions!$B$7,Assumptions!$B$8)))</f>
        <v>9000</v>
      </c>
      <c r="F33" s="36" t="n">
        <f aca="false">IF(A33&lt;=6,Assumptions!$B$14,IF(A33&lt;=18,Assumptions!$B$15,IF(A33&lt;=36,Assumptions!$B$16,Assumptions!$B$17)))</f>
        <v>0.08</v>
      </c>
      <c r="G33" s="37" t="n">
        <f aca="false">ROUND(MAX(I32,1)*F33,0)</f>
        <v>9</v>
      </c>
      <c r="H33" s="37" t="n">
        <f aca="false">ROUND(I32*Assumptions!$B$18,0)</f>
        <v>2</v>
      </c>
      <c r="I33" s="37" t="n">
        <f aca="false">MIN(I32+G33-H33,E33)</f>
        <v>117</v>
      </c>
      <c r="J33" s="36" t="n">
        <f aca="false">Assumptions!$B$22</f>
        <v>0.55</v>
      </c>
      <c r="K33" s="38" t="n">
        <f aca="false">I33*J33</f>
        <v>64.35</v>
      </c>
      <c r="L33" s="39" t="n">
        <f aca="false">Assumptions!$B$10*(1-Assumptions!$B$12)+Assumptions!$B$11*Assumptions!$B$12</f>
        <v>46.06</v>
      </c>
      <c r="M33" s="18" t="n">
        <f aca="false">K33*L33</f>
        <v>2963.961</v>
      </c>
      <c r="N33" s="40" t="n">
        <f aca="false">((IF(A33&lt;=Assumptions!$B$91,Assumptions!$B$90,IF(A33&gt;=Assumptions!$B$92,1,Assumptions!$B$90+(1-Assumptions!$B$90)*(A33-Assumptions!$B$91)/(Assumptions!$B$92-Assumptions!$B$91))))*Assumptions!$B$81*Assumptions!$B$75+Assumptions!$B$82)*(1+Assumptions!$B$83)/12</f>
        <v>28270.8333333333</v>
      </c>
      <c r="O33" s="18" t="n">
        <f aca="false">M33*Assumptions!$B$33</f>
        <v>2519.36685</v>
      </c>
      <c r="P33" s="18" t="n">
        <f aca="false">O33-N33</f>
        <v>-25751.4664833333</v>
      </c>
      <c r="Q33" s="1" t="n">
        <f aca="false">IF(A33&gt;=Assumptions!$B$45,A33-Assumptions!$B$45+1,"")</f>
        <v>20</v>
      </c>
      <c r="R33" s="1" t="str">
        <f aca="false">IF(Q33="","Not yet launched",IF(Q33&lt;=6,"CP1: Launch",IF(Q33&lt;=18,"CP2: Scale",IF(Q33&lt;=36,"CP3: Mature","CP4: Steady"))))</f>
        <v>CP3: Mature</v>
      </c>
      <c r="S33" s="41" t="n">
        <f aca="false">IF(Q33="",0,Assumptions!$B$46)</f>
        <v>2000</v>
      </c>
      <c r="T33" s="42" t="n">
        <f aca="false">IF(Q33="",0,IF(Q33&lt;=6,Assumptions!$B$14,IF(Q33&lt;=18,Assumptions!$B$15,IF(Q33&lt;=36,Assumptions!$B$16,Assumptions!$B$17))))</f>
        <v>0.08</v>
      </c>
      <c r="U33" s="41" t="n">
        <f aca="false">IF(Q33="",0,IF(Q33=1,Assumptions!$B$65,ROUND(MAX(W32,1)*T33,0)))</f>
        <v>3</v>
      </c>
      <c r="V33" s="41" t="n">
        <f aca="false">IF(Q33="",0,ROUND(W32*Assumptions!$B$49,0))</f>
        <v>1</v>
      </c>
      <c r="W33" s="41" t="n">
        <f aca="false">IF(Q33="",0,MIN(W32+U33-V33,S33))</f>
        <v>42</v>
      </c>
      <c r="X33" s="42" t="n">
        <f aca="false">IF(Q33="",0,Assumptions!$B$54)</f>
        <v>1</v>
      </c>
      <c r="Y33" s="43" t="n">
        <f aca="false">W33*X33</f>
        <v>42</v>
      </c>
      <c r="Z33" s="44" t="n">
        <f aca="false">L33</f>
        <v>46.06</v>
      </c>
      <c r="AA33" s="45" t="n">
        <f aca="false">Y33*Z33</f>
        <v>1934.52</v>
      </c>
      <c r="AB33" s="45" t="n">
        <f aca="false">IF(A33=Assumptions!$B$45,Assumptions!$B$47+Assumptions!$B$48,IF(A33&gt;Assumptions!$B$45,Assumptions!$B$47,0))</f>
        <v>50</v>
      </c>
      <c r="AC33" s="45" t="n">
        <f aca="false">AA33*Assumptions!$B$33</f>
        <v>1644.342</v>
      </c>
      <c r="AD33" s="41" t="n">
        <f aca="false">I33+W33</f>
        <v>159</v>
      </c>
      <c r="AE33" s="45" t="n">
        <f aca="false">M33+AA33</f>
        <v>4898.481</v>
      </c>
      <c r="AF33" s="45" t="n">
        <f aca="false">N33+AB33+AJ33+AK33+AL33+Assumptions!$B$68</f>
        <v>33066.3891666667</v>
      </c>
      <c r="AG33" s="45" t="n">
        <f aca="false">O33+AC33</f>
        <v>4163.70885</v>
      </c>
      <c r="AH33" s="45" t="n">
        <f aca="false">AG33-AF33</f>
        <v>-28902.6803166667</v>
      </c>
      <c r="AI33" s="42" t="n">
        <f aca="false">IFERROR((AD33-AD32)/AD32,"")</f>
        <v>0.06</v>
      </c>
      <c r="AJ33" s="46" t="n">
        <f aca="false">MAX(Assumptions!$B$71,Assumptions!$B$69*0.5^(A33/Assumptions!$B$70))+Assumptions!$B$72*(K33+Y33)</f>
        <v>112.2225</v>
      </c>
      <c r="AK33" s="46" t="n">
        <f aca="false">IF(AND(Assumptions!$B$76=1,A33&gt;=Assumptions!$B$77),Assumptions!$B$78/12,0)</f>
        <v>4583.33333333333</v>
      </c>
      <c r="AL33" s="46" t="n">
        <f aca="false">IF(AND(Assumptions!$B$86=1,Q33&lt;&gt;""),Assumptions!$B$87/12,0)</f>
        <v>0</v>
      </c>
    </row>
    <row r="34" customFormat="false" ht="15" hidden="false" customHeight="true" outlineLevel="0" collapsed="false">
      <c r="A34" s="34" t="n">
        <v>33</v>
      </c>
      <c r="B34" s="8" t="s">
        <v>216</v>
      </c>
      <c r="C34" s="34" t="n">
        <f aca="false">IF(A34&lt;=12,1,IF(A34&lt;=24,2,IF(A34&lt;=36,3,4)))</f>
        <v>3</v>
      </c>
      <c r="D34" s="8" t="str">
        <f aca="false">IF(A34&lt;=6,"P1: Pilot-&gt;Seed",IF(A34&lt;=18,"P2: Scale/Series A",IF(A34&lt;=36,"P3: Post-Series A","P4: Maturity")))</f>
        <v>P3: Post-Series A</v>
      </c>
      <c r="E34" s="35" t="n">
        <f aca="false">IF(C34=1,Assumptions!$B$5,IF(C34=2,Assumptions!$B$6,IF(C34=3,Assumptions!$B$7,Assumptions!$B$8)))</f>
        <v>9000</v>
      </c>
      <c r="F34" s="36" t="n">
        <f aca="false">IF(A34&lt;=6,Assumptions!$B$14,IF(A34&lt;=18,Assumptions!$B$15,IF(A34&lt;=36,Assumptions!$B$16,Assumptions!$B$17)))</f>
        <v>0.08</v>
      </c>
      <c r="G34" s="37" t="n">
        <f aca="false">ROUND(MAX(I33,1)*F34,0)</f>
        <v>9</v>
      </c>
      <c r="H34" s="37" t="n">
        <f aca="false">ROUND(I33*Assumptions!$B$18,0)</f>
        <v>2</v>
      </c>
      <c r="I34" s="37" t="n">
        <f aca="false">MIN(I33+G34-H34,E34)</f>
        <v>124</v>
      </c>
      <c r="J34" s="36" t="n">
        <f aca="false">Assumptions!$B$23</f>
        <v>0.85</v>
      </c>
      <c r="K34" s="38" t="n">
        <f aca="false">I34*J34</f>
        <v>105.4</v>
      </c>
      <c r="L34" s="39" t="n">
        <f aca="false">Assumptions!$B$10*(1-Assumptions!$B$12)+Assumptions!$B$11*Assumptions!$B$12</f>
        <v>46.06</v>
      </c>
      <c r="M34" s="18" t="n">
        <f aca="false">K34*L34</f>
        <v>4854.724</v>
      </c>
      <c r="N34" s="40" t="n">
        <f aca="false">((IF(A34&lt;=Assumptions!$B$91,Assumptions!$B$90,IF(A34&gt;=Assumptions!$B$92,1,Assumptions!$B$90+(1-Assumptions!$B$90)*(A34-Assumptions!$B$91)/(Assumptions!$B$92-Assumptions!$B$91))))*Assumptions!$B$81*Assumptions!$B$75+Assumptions!$B$82)*(1+Assumptions!$B$83)/12</f>
        <v>28270.8333333333</v>
      </c>
      <c r="O34" s="18" t="n">
        <f aca="false">M34*Assumptions!$B$33</f>
        <v>4126.5154</v>
      </c>
      <c r="P34" s="18" t="n">
        <f aca="false">O34-N34</f>
        <v>-24144.3179333333</v>
      </c>
      <c r="Q34" s="1" t="n">
        <f aca="false">IF(A34&gt;=Assumptions!$B$45,A34-Assumptions!$B$45+1,"")</f>
        <v>21</v>
      </c>
      <c r="R34" s="1" t="str">
        <f aca="false">IF(Q34="","Not yet launched",IF(Q34&lt;=6,"CP1: Launch",IF(Q34&lt;=18,"CP2: Scale",IF(Q34&lt;=36,"CP3: Mature","CP4: Steady"))))</f>
        <v>CP3: Mature</v>
      </c>
      <c r="S34" s="41" t="n">
        <f aca="false">IF(Q34="",0,Assumptions!$B$46)</f>
        <v>2000</v>
      </c>
      <c r="T34" s="42" t="n">
        <f aca="false">IF(Q34="",0,IF(Q34&lt;=6,Assumptions!$B$14,IF(Q34&lt;=18,Assumptions!$B$15,IF(Q34&lt;=36,Assumptions!$B$16,Assumptions!$B$17))))</f>
        <v>0.08</v>
      </c>
      <c r="U34" s="41" t="n">
        <f aca="false">IF(Q34="",0,IF(Q34=1,Assumptions!$B$65,ROUND(MAX(W33,1)*T34,0)))</f>
        <v>3</v>
      </c>
      <c r="V34" s="41" t="n">
        <f aca="false">IF(Q34="",0,ROUND(W33*Assumptions!$B$49,0))</f>
        <v>1</v>
      </c>
      <c r="W34" s="41" t="n">
        <f aca="false">IF(Q34="",0,MIN(W33+U34-V34,S34))</f>
        <v>44</v>
      </c>
      <c r="X34" s="42" t="n">
        <f aca="false">IF(Q34="",0,Assumptions!$B$55)</f>
        <v>0.9</v>
      </c>
      <c r="Y34" s="43" t="n">
        <f aca="false">W34*X34</f>
        <v>39.6</v>
      </c>
      <c r="Z34" s="44" t="n">
        <f aca="false">L34</f>
        <v>46.06</v>
      </c>
      <c r="AA34" s="45" t="n">
        <f aca="false">Y34*Z34</f>
        <v>1823.976</v>
      </c>
      <c r="AB34" s="45" t="n">
        <f aca="false">IF(A34=Assumptions!$B$45,Assumptions!$B$47+Assumptions!$B$48,IF(A34&gt;Assumptions!$B$45,Assumptions!$B$47,0))</f>
        <v>50</v>
      </c>
      <c r="AC34" s="45" t="n">
        <f aca="false">AA34*Assumptions!$B$33</f>
        <v>1550.3796</v>
      </c>
      <c r="AD34" s="41" t="n">
        <f aca="false">I34+W34</f>
        <v>168</v>
      </c>
      <c r="AE34" s="45" t="n">
        <f aca="false">M34+AA34</f>
        <v>6678.7</v>
      </c>
      <c r="AF34" s="45" t="n">
        <f aca="false">N34+AB34+AJ34+AK34+AL34+Assumptions!$B$68</f>
        <v>33079.9166666667</v>
      </c>
      <c r="AG34" s="45" t="n">
        <f aca="false">O34+AC34</f>
        <v>5676.895</v>
      </c>
      <c r="AH34" s="45" t="n">
        <f aca="false">AG34-AF34</f>
        <v>-27403.0216666667</v>
      </c>
      <c r="AI34" s="42" t="n">
        <f aca="false">IFERROR((AD34-AD33)/AD33,"")</f>
        <v>0.0566037735849057</v>
      </c>
      <c r="AJ34" s="46" t="n">
        <f aca="false">MAX(Assumptions!$B$71,Assumptions!$B$69*0.5^(A34/Assumptions!$B$70))+Assumptions!$B$72*(K34+Y34)</f>
        <v>125.75</v>
      </c>
      <c r="AK34" s="46" t="n">
        <f aca="false">IF(AND(Assumptions!$B$76=1,A34&gt;=Assumptions!$B$77),Assumptions!$B$78/12,0)</f>
        <v>4583.33333333333</v>
      </c>
      <c r="AL34" s="46" t="n">
        <f aca="false">IF(AND(Assumptions!$B$86=1,Q34&lt;&gt;""),Assumptions!$B$87/12,0)</f>
        <v>0</v>
      </c>
    </row>
    <row r="35" customFormat="false" ht="15" hidden="false" customHeight="true" outlineLevel="0" collapsed="false">
      <c r="A35" s="34" t="n">
        <v>34</v>
      </c>
      <c r="B35" s="8" t="s">
        <v>217</v>
      </c>
      <c r="C35" s="34" t="n">
        <f aca="false">IF(A35&lt;=12,1,IF(A35&lt;=24,2,IF(A35&lt;=36,3,4)))</f>
        <v>3</v>
      </c>
      <c r="D35" s="8" t="str">
        <f aca="false">IF(A35&lt;=6,"P1: Pilot-&gt;Seed",IF(A35&lt;=18,"P2: Scale/Series A",IF(A35&lt;=36,"P3: Post-Series A","P4: Maturity")))</f>
        <v>P3: Post-Series A</v>
      </c>
      <c r="E35" s="35" t="n">
        <f aca="false">IF(C35=1,Assumptions!$B$5,IF(C35=2,Assumptions!$B$6,IF(C35=3,Assumptions!$B$7,Assumptions!$B$8)))</f>
        <v>9000</v>
      </c>
      <c r="F35" s="36" t="n">
        <f aca="false">IF(A35&lt;=6,Assumptions!$B$14,IF(A35&lt;=18,Assumptions!$B$15,IF(A35&lt;=36,Assumptions!$B$16,Assumptions!$B$17)))</f>
        <v>0.08</v>
      </c>
      <c r="G35" s="37" t="n">
        <f aca="false">ROUND(MAX(I34,1)*F35,0)</f>
        <v>10</v>
      </c>
      <c r="H35" s="37" t="n">
        <f aca="false">ROUND(I34*Assumptions!$B$18,0)</f>
        <v>2</v>
      </c>
      <c r="I35" s="37" t="n">
        <f aca="false">MIN(I34+G35-H35,E35)</f>
        <v>132</v>
      </c>
      <c r="J35" s="36" t="n">
        <f aca="false">Assumptions!$B$24</f>
        <v>1</v>
      </c>
      <c r="K35" s="38" t="n">
        <f aca="false">I35*J35</f>
        <v>132</v>
      </c>
      <c r="L35" s="39" t="n">
        <f aca="false">Assumptions!$B$10*(1-Assumptions!$B$12)+Assumptions!$B$11*Assumptions!$B$12</f>
        <v>46.06</v>
      </c>
      <c r="M35" s="18" t="n">
        <f aca="false">K35*L35</f>
        <v>6079.92</v>
      </c>
      <c r="N35" s="40" t="n">
        <f aca="false">((IF(A35&lt;=Assumptions!$B$91,Assumptions!$B$90,IF(A35&gt;=Assumptions!$B$92,1,Assumptions!$B$90+(1-Assumptions!$B$90)*(A35-Assumptions!$B$91)/(Assumptions!$B$92-Assumptions!$B$91))))*Assumptions!$B$81*Assumptions!$B$75+Assumptions!$B$82)*(1+Assumptions!$B$83)/12</f>
        <v>28270.8333333333</v>
      </c>
      <c r="O35" s="18" t="n">
        <f aca="false">M35*Assumptions!$B$33</f>
        <v>5167.932</v>
      </c>
      <c r="P35" s="18" t="n">
        <f aca="false">O35-N35</f>
        <v>-23102.9013333333</v>
      </c>
      <c r="Q35" s="1" t="n">
        <f aca="false">IF(A35&gt;=Assumptions!$B$45,A35-Assumptions!$B$45+1,"")</f>
        <v>22</v>
      </c>
      <c r="R35" s="1" t="str">
        <f aca="false">IF(Q35="","Not yet launched",IF(Q35&lt;=6,"CP1: Launch",IF(Q35&lt;=18,"CP2: Scale",IF(Q35&lt;=36,"CP3: Mature","CP4: Steady"))))</f>
        <v>CP3: Mature</v>
      </c>
      <c r="S35" s="41" t="n">
        <f aca="false">IF(Q35="",0,Assumptions!$B$46)</f>
        <v>2000</v>
      </c>
      <c r="T35" s="42" t="n">
        <f aca="false">IF(Q35="",0,IF(Q35&lt;=6,Assumptions!$B$14,IF(Q35&lt;=18,Assumptions!$B$15,IF(Q35&lt;=36,Assumptions!$B$16,Assumptions!$B$17))))</f>
        <v>0.08</v>
      </c>
      <c r="U35" s="41" t="n">
        <f aca="false">IF(Q35="",0,IF(Q35=1,Assumptions!$B$65,ROUND(MAX(W34,1)*T35,0)))</f>
        <v>4</v>
      </c>
      <c r="V35" s="41" t="n">
        <f aca="false">IF(Q35="",0,ROUND(W34*Assumptions!$B$49,0))</f>
        <v>1</v>
      </c>
      <c r="W35" s="41" t="n">
        <f aca="false">IF(Q35="",0,MIN(W34+U35-V35,S35))</f>
        <v>47</v>
      </c>
      <c r="X35" s="42" t="n">
        <f aca="false">IF(Q35="",0,Assumptions!$B$56)</f>
        <v>0.6</v>
      </c>
      <c r="Y35" s="43" t="n">
        <f aca="false">W35*X35</f>
        <v>28.2</v>
      </c>
      <c r="Z35" s="44" t="n">
        <f aca="false">L35</f>
        <v>46.06</v>
      </c>
      <c r="AA35" s="45" t="n">
        <f aca="false">Y35*Z35</f>
        <v>1298.892</v>
      </c>
      <c r="AB35" s="45" t="n">
        <f aca="false">IF(A35=Assumptions!$B$45,Assumptions!$B$47+Assumptions!$B$48,IF(A35&gt;Assumptions!$B$45,Assumptions!$B$47,0))</f>
        <v>50</v>
      </c>
      <c r="AC35" s="45" t="n">
        <f aca="false">AA35*Assumptions!$B$33</f>
        <v>1104.0582</v>
      </c>
      <c r="AD35" s="41" t="n">
        <f aca="false">I35+W35</f>
        <v>179</v>
      </c>
      <c r="AE35" s="45" t="n">
        <f aca="false">M35+AA35</f>
        <v>7378.812</v>
      </c>
      <c r="AF35" s="45" t="n">
        <f aca="false">N35+AB35+AJ35+AK35+AL35+Assumptions!$B$68</f>
        <v>33085.2366666667</v>
      </c>
      <c r="AG35" s="45" t="n">
        <f aca="false">O35+AC35</f>
        <v>6271.9902</v>
      </c>
      <c r="AH35" s="45" t="n">
        <f aca="false">AG35-AF35</f>
        <v>-26813.2464666667</v>
      </c>
      <c r="AI35" s="42" t="n">
        <f aca="false">IFERROR((AD35-AD34)/AD34,"")</f>
        <v>0.0654761904761905</v>
      </c>
      <c r="AJ35" s="46" t="n">
        <f aca="false">MAX(Assumptions!$B$71,Assumptions!$B$69*0.5^(A35/Assumptions!$B$70))+Assumptions!$B$72*(K35+Y35)</f>
        <v>131.07</v>
      </c>
      <c r="AK35" s="46" t="n">
        <f aca="false">IF(AND(Assumptions!$B$76=1,A35&gt;=Assumptions!$B$77),Assumptions!$B$78/12,0)</f>
        <v>4583.33333333333</v>
      </c>
      <c r="AL35" s="46" t="n">
        <f aca="false">IF(AND(Assumptions!$B$86=1,Q35&lt;&gt;""),Assumptions!$B$87/12,0)</f>
        <v>0</v>
      </c>
    </row>
    <row r="36" customFormat="false" ht="15" hidden="false" customHeight="true" outlineLevel="0" collapsed="false">
      <c r="A36" s="34" t="n">
        <v>35</v>
      </c>
      <c r="B36" s="8" t="s">
        <v>218</v>
      </c>
      <c r="C36" s="34" t="n">
        <f aca="false">IF(A36&lt;=12,1,IF(A36&lt;=24,2,IF(A36&lt;=36,3,4)))</f>
        <v>3</v>
      </c>
      <c r="D36" s="8" t="str">
        <f aca="false">IF(A36&lt;=6,"P1: Pilot-&gt;Seed",IF(A36&lt;=18,"P2: Scale/Series A",IF(A36&lt;=36,"P3: Post-Series A","P4: Maturity")))</f>
        <v>P3: Post-Series A</v>
      </c>
      <c r="E36" s="35" t="n">
        <f aca="false">IF(C36=1,Assumptions!$B$5,IF(C36=2,Assumptions!$B$6,IF(C36=3,Assumptions!$B$7,Assumptions!$B$8)))</f>
        <v>9000</v>
      </c>
      <c r="F36" s="36" t="n">
        <f aca="false">IF(A36&lt;=6,Assumptions!$B$14,IF(A36&lt;=18,Assumptions!$B$15,IF(A36&lt;=36,Assumptions!$B$16,Assumptions!$B$17)))</f>
        <v>0.08</v>
      </c>
      <c r="G36" s="37" t="n">
        <f aca="false">ROUND(MAX(I35,1)*F36,0)</f>
        <v>11</v>
      </c>
      <c r="H36" s="37" t="n">
        <f aca="false">ROUND(I35*Assumptions!$B$18,0)</f>
        <v>3</v>
      </c>
      <c r="I36" s="37" t="n">
        <f aca="false">MIN(I35+G36-H36,E36)</f>
        <v>140</v>
      </c>
      <c r="J36" s="36" t="n">
        <f aca="false">Assumptions!$B$25</f>
        <v>1</v>
      </c>
      <c r="K36" s="38" t="n">
        <f aca="false">I36*J36</f>
        <v>140</v>
      </c>
      <c r="L36" s="39" t="n">
        <f aca="false">Assumptions!$B$10*(1-Assumptions!$B$12)+Assumptions!$B$11*Assumptions!$B$12</f>
        <v>46.06</v>
      </c>
      <c r="M36" s="18" t="n">
        <f aca="false">K36*L36</f>
        <v>6448.4</v>
      </c>
      <c r="N36" s="40" t="n">
        <f aca="false">((IF(A36&lt;=Assumptions!$B$91,Assumptions!$B$90,IF(A36&gt;=Assumptions!$B$92,1,Assumptions!$B$90+(1-Assumptions!$B$90)*(A36-Assumptions!$B$91)/(Assumptions!$B$92-Assumptions!$B$91))))*Assumptions!$B$81*Assumptions!$B$75+Assumptions!$B$82)*(1+Assumptions!$B$83)/12</f>
        <v>28270.8333333333</v>
      </c>
      <c r="O36" s="18" t="n">
        <f aca="false">M36*Assumptions!$B$33</f>
        <v>5481.14</v>
      </c>
      <c r="P36" s="18" t="n">
        <f aca="false">O36-N36</f>
        <v>-22789.6933333333</v>
      </c>
      <c r="Q36" s="1" t="n">
        <f aca="false">IF(A36&gt;=Assumptions!$B$45,A36-Assumptions!$B$45+1,"")</f>
        <v>23</v>
      </c>
      <c r="R36" s="1" t="str">
        <f aca="false">IF(Q36="","Not yet launched",IF(Q36&lt;=6,"CP1: Launch",IF(Q36&lt;=18,"CP2: Scale",IF(Q36&lt;=36,"CP3: Mature","CP4: Steady"))))</f>
        <v>CP3: Mature</v>
      </c>
      <c r="S36" s="41" t="n">
        <f aca="false">IF(Q36="",0,Assumptions!$B$46)</f>
        <v>2000</v>
      </c>
      <c r="T36" s="42" t="n">
        <f aca="false">IF(Q36="",0,IF(Q36&lt;=6,Assumptions!$B$14,IF(Q36&lt;=18,Assumptions!$B$15,IF(Q36&lt;=36,Assumptions!$B$16,Assumptions!$B$17))))</f>
        <v>0.08</v>
      </c>
      <c r="U36" s="41" t="n">
        <f aca="false">IF(Q36="",0,IF(Q36=1,Assumptions!$B$65,ROUND(MAX(W35,1)*T36,0)))</f>
        <v>4</v>
      </c>
      <c r="V36" s="41" t="n">
        <f aca="false">IF(Q36="",0,ROUND(W35*Assumptions!$B$49,0))</f>
        <v>1</v>
      </c>
      <c r="W36" s="41" t="n">
        <f aca="false">IF(Q36="",0,MIN(W35+U36-V36,S36))</f>
        <v>50</v>
      </c>
      <c r="X36" s="42" t="n">
        <f aca="false">IF(Q36="",0,Assumptions!$B$57)</f>
        <v>0.4</v>
      </c>
      <c r="Y36" s="43" t="n">
        <f aca="false">W36*X36</f>
        <v>20</v>
      </c>
      <c r="Z36" s="44" t="n">
        <f aca="false">L36</f>
        <v>46.06</v>
      </c>
      <c r="AA36" s="45" t="n">
        <f aca="false">Y36*Z36</f>
        <v>921.2</v>
      </c>
      <c r="AB36" s="45" t="n">
        <f aca="false">IF(A36=Assumptions!$B$45,Assumptions!$B$47+Assumptions!$B$48,IF(A36&gt;Assumptions!$B$45,Assumptions!$B$47,0))</f>
        <v>50</v>
      </c>
      <c r="AC36" s="45" t="n">
        <f aca="false">AA36*Assumptions!$B$33</f>
        <v>783.02</v>
      </c>
      <c r="AD36" s="41" t="n">
        <f aca="false">I36+W36</f>
        <v>190</v>
      </c>
      <c r="AE36" s="45" t="n">
        <f aca="false">M36+AA36</f>
        <v>7369.6</v>
      </c>
      <c r="AF36" s="45" t="n">
        <f aca="false">N36+AB36+AJ36+AK36+AL36+Assumptions!$B$68</f>
        <v>33085.1666666667</v>
      </c>
      <c r="AG36" s="45" t="n">
        <f aca="false">O36+AC36</f>
        <v>6264.16</v>
      </c>
      <c r="AH36" s="45" t="n">
        <f aca="false">AG36-AF36</f>
        <v>-26821.0066666667</v>
      </c>
      <c r="AI36" s="42" t="n">
        <f aca="false">IFERROR((AD36-AD35)/AD35,"")</f>
        <v>0.0614525139664804</v>
      </c>
      <c r="AJ36" s="46" t="n">
        <f aca="false">MAX(Assumptions!$B$71,Assumptions!$B$69*0.5^(A36/Assumptions!$B$70))+Assumptions!$B$72*(K36+Y36)</f>
        <v>131</v>
      </c>
      <c r="AK36" s="46" t="n">
        <f aca="false">IF(AND(Assumptions!$B$76=1,A36&gt;=Assumptions!$B$77),Assumptions!$B$78/12,0)</f>
        <v>4583.33333333333</v>
      </c>
      <c r="AL36" s="46" t="n">
        <f aca="false">IF(AND(Assumptions!$B$86=1,Q36&lt;&gt;""),Assumptions!$B$87/12,0)</f>
        <v>0</v>
      </c>
    </row>
    <row r="37" customFormat="false" ht="15" hidden="false" customHeight="true" outlineLevel="0" collapsed="false">
      <c r="A37" s="34" t="n">
        <v>36</v>
      </c>
      <c r="B37" s="8" t="s">
        <v>219</v>
      </c>
      <c r="C37" s="34" t="n">
        <f aca="false">IF(A37&lt;=12,1,IF(A37&lt;=24,2,IF(A37&lt;=36,3,4)))</f>
        <v>3</v>
      </c>
      <c r="D37" s="8" t="str">
        <f aca="false">IF(A37&lt;=6,"P1: Pilot-&gt;Seed",IF(A37&lt;=18,"P2: Scale/Series A",IF(A37&lt;=36,"P3: Post-Series A","P4: Maturity")))</f>
        <v>P3: Post-Series A</v>
      </c>
      <c r="E37" s="35" t="n">
        <f aca="false">IF(C37=1,Assumptions!$B$5,IF(C37=2,Assumptions!$B$6,IF(C37=3,Assumptions!$B$7,Assumptions!$B$8)))</f>
        <v>9000</v>
      </c>
      <c r="F37" s="36" t="n">
        <f aca="false">IF(A37&lt;=6,Assumptions!$B$14,IF(A37&lt;=18,Assumptions!$B$15,IF(A37&lt;=36,Assumptions!$B$16,Assumptions!$B$17)))</f>
        <v>0.08</v>
      </c>
      <c r="G37" s="37" t="n">
        <f aca="false">ROUND(MAX(I36,1)*F37,0)</f>
        <v>11</v>
      </c>
      <c r="H37" s="37" t="n">
        <f aca="false">ROUND(I36*Assumptions!$B$18,0)</f>
        <v>3</v>
      </c>
      <c r="I37" s="37" t="n">
        <f aca="false">MIN(I36+G37-H37,E37)</f>
        <v>148</v>
      </c>
      <c r="J37" s="36" t="n">
        <f aca="false">Assumptions!$B$26</f>
        <v>1</v>
      </c>
      <c r="K37" s="38" t="n">
        <f aca="false">I37*J37</f>
        <v>148</v>
      </c>
      <c r="L37" s="39" t="n">
        <f aca="false">Assumptions!$B$10*(1-Assumptions!$B$12)+Assumptions!$B$11*Assumptions!$B$12</f>
        <v>46.06</v>
      </c>
      <c r="M37" s="18" t="n">
        <f aca="false">K37*L37</f>
        <v>6816.88</v>
      </c>
      <c r="N37" s="40" t="n">
        <f aca="false">((IF(A37&lt;=Assumptions!$B$91,Assumptions!$B$90,IF(A37&gt;=Assumptions!$B$92,1,Assumptions!$B$90+(1-Assumptions!$B$90)*(A37-Assumptions!$B$91)/(Assumptions!$B$92-Assumptions!$B$91))))*Assumptions!$B$81*Assumptions!$B$75+Assumptions!$B$82)*(1+Assumptions!$B$83)/12</f>
        <v>28270.8333333333</v>
      </c>
      <c r="O37" s="18" t="n">
        <f aca="false">M37*Assumptions!$B$33</f>
        <v>5794.348</v>
      </c>
      <c r="P37" s="18" t="n">
        <f aca="false">O37-N37</f>
        <v>-22476.4853333333</v>
      </c>
      <c r="Q37" s="1" t="n">
        <f aca="false">IF(A37&gt;=Assumptions!$B$45,A37-Assumptions!$B$45+1,"")</f>
        <v>24</v>
      </c>
      <c r="R37" s="1" t="str">
        <f aca="false">IF(Q37="","Not yet launched",IF(Q37&lt;=6,"CP1: Launch",IF(Q37&lt;=18,"CP2: Scale",IF(Q37&lt;=36,"CP3: Mature","CP4: Steady"))))</f>
        <v>CP3: Mature</v>
      </c>
      <c r="S37" s="41" t="n">
        <f aca="false">IF(Q37="",0,Assumptions!$B$46)</f>
        <v>2000</v>
      </c>
      <c r="T37" s="42" t="n">
        <f aca="false">IF(Q37="",0,IF(Q37&lt;=6,Assumptions!$B$14,IF(Q37&lt;=18,Assumptions!$B$15,IF(Q37&lt;=36,Assumptions!$B$16,Assumptions!$B$17))))</f>
        <v>0.08</v>
      </c>
      <c r="U37" s="41" t="n">
        <f aca="false">IF(Q37="",0,IF(Q37=1,Assumptions!$B$65,ROUND(MAX(W36,1)*T37,0)))</f>
        <v>4</v>
      </c>
      <c r="V37" s="41" t="n">
        <f aca="false">IF(Q37="",0,ROUND(W36*Assumptions!$B$49,0))</f>
        <v>1</v>
      </c>
      <c r="W37" s="41" t="n">
        <f aca="false">IF(Q37="",0,MIN(W36+U37-V37,S37))</f>
        <v>53</v>
      </c>
      <c r="X37" s="42" t="n">
        <f aca="false">IF(Q37="",0,Assumptions!$B$58)</f>
        <v>0.35</v>
      </c>
      <c r="Y37" s="43" t="n">
        <f aca="false">W37*X37</f>
        <v>18.55</v>
      </c>
      <c r="Z37" s="44" t="n">
        <f aca="false">L37</f>
        <v>46.06</v>
      </c>
      <c r="AA37" s="45" t="n">
        <f aca="false">Y37*Z37</f>
        <v>854.413</v>
      </c>
      <c r="AB37" s="45" t="n">
        <f aca="false">IF(A37=Assumptions!$B$45,Assumptions!$B$47+Assumptions!$B$48,IF(A37&gt;Assumptions!$B$45,Assumptions!$B$47,0))</f>
        <v>50</v>
      </c>
      <c r="AC37" s="45" t="n">
        <f aca="false">AA37*Assumptions!$B$33</f>
        <v>726.25105</v>
      </c>
      <c r="AD37" s="41" t="n">
        <f aca="false">I37+W37</f>
        <v>201</v>
      </c>
      <c r="AE37" s="45" t="n">
        <f aca="false">M37+AA37</f>
        <v>7671.293</v>
      </c>
      <c r="AF37" s="45" t="n">
        <f aca="false">N37+AB37+AJ37+AK37+AL37+Assumptions!$B$68</f>
        <v>33087.4591666667</v>
      </c>
      <c r="AG37" s="45" t="n">
        <f aca="false">O37+AC37</f>
        <v>6520.59905</v>
      </c>
      <c r="AH37" s="45" t="n">
        <f aca="false">AG37-AF37</f>
        <v>-26566.8601166667</v>
      </c>
      <c r="AI37" s="42" t="n">
        <f aca="false">IFERROR((AD37-AD36)/AD36,"")</f>
        <v>0.0578947368421053</v>
      </c>
      <c r="AJ37" s="46" t="n">
        <f aca="false">MAX(Assumptions!$B$71,Assumptions!$B$69*0.5^(A37/Assumptions!$B$70))+Assumptions!$B$72*(K37+Y37)</f>
        <v>133.2925</v>
      </c>
      <c r="AK37" s="46" t="n">
        <f aca="false">IF(AND(Assumptions!$B$76=1,A37&gt;=Assumptions!$B$77),Assumptions!$B$78/12,0)</f>
        <v>4583.33333333333</v>
      </c>
      <c r="AL37" s="46" t="n">
        <f aca="false">IF(AND(Assumptions!$B$86=1,Q37&lt;&gt;""),Assumptions!$B$87/12,0)</f>
        <v>0</v>
      </c>
    </row>
    <row r="38" customFormat="false" ht="15" hidden="false" customHeight="true" outlineLevel="0" collapsed="false">
      <c r="A38" s="34" t="n">
        <v>37</v>
      </c>
      <c r="B38" s="8" t="s">
        <v>220</v>
      </c>
      <c r="C38" s="34" t="n">
        <f aca="false">IF(A38&lt;=12,1,IF(A38&lt;=24,2,IF(A38&lt;=36,3,4)))</f>
        <v>4</v>
      </c>
      <c r="D38" s="8" t="str">
        <f aca="false">IF(A38&lt;=6,"P1: Pilot-&gt;Seed",IF(A38&lt;=18,"P2: Scale/Series A",IF(A38&lt;=36,"P3: Post-Series A","P4: Maturity")))</f>
        <v>P4: Maturity</v>
      </c>
      <c r="E38" s="35" t="n">
        <f aca="false">IF(C38=1,Assumptions!$B$5,IF(C38=2,Assumptions!$B$6,IF(C38=3,Assumptions!$B$7,Assumptions!$B$8)))</f>
        <v>15000</v>
      </c>
      <c r="F38" s="36" t="n">
        <f aca="false">IF(A38&lt;=6,Assumptions!$B$14,IF(A38&lt;=18,Assumptions!$B$15,IF(A38&lt;=36,Assumptions!$B$16,Assumptions!$B$17)))</f>
        <v>0.05</v>
      </c>
      <c r="G38" s="37" t="n">
        <f aca="false">ROUND(MAX(I37,1)*F38,0)</f>
        <v>7</v>
      </c>
      <c r="H38" s="37" t="n">
        <f aca="false">ROUND(I37*Assumptions!$B$18,0)</f>
        <v>3</v>
      </c>
      <c r="I38" s="37" t="n">
        <f aca="false">MIN(I37+G38-H38,E38)</f>
        <v>152</v>
      </c>
      <c r="J38" s="36" t="n">
        <f aca="false">Assumptions!$B$27</f>
        <v>1</v>
      </c>
      <c r="K38" s="38" t="n">
        <f aca="false">I38*J38</f>
        <v>152</v>
      </c>
      <c r="L38" s="39" t="n">
        <f aca="false">Assumptions!$B$10*(1-Assumptions!$B$12)+Assumptions!$B$11*Assumptions!$B$12</f>
        <v>46.06</v>
      </c>
      <c r="M38" s="18" t="n">
        <f aca="false">K38*L38</f>
        <v>7001.12</v>
      </c>
      <c r="N38" s="40" t="n">
        <f aca="false">((IF(A38&lt;=Assumptions!$B$91,Assumptions!$B$90,IF(A38&gt;=Assumptions!$B$92,1,Assumptions!$B$90+(1-Assumptions!$B$90)*(A38-Assumptions!$B$91)/(Assumptions!$B$92-Assumptions!$B$91))))*Assumptions!$B$81*Assumptions!$B$75+Assumptions!$B$82)*(1+Assumptions!$B$83)/12</f>
        <v>28270.8333333333</v>
      </c>
      <c r="O38" s="18" t="n">
        <f aca="false">M38*Assumptions!$B$33</f>
        <v>5950.952</v>
      </c>
      <c r="P38" s="18" t="n">
        <f aca="false">O38-N38</f>
        <v>-22319.8813333333</v>
      </c>
      <c r="Q38" s="1" t="n">
        <f aca="false">IF(A38&gt;=Assumptions!$B$45,A38-Assumptions!$B$45+1,"")</f>
        <v>25</v>
      </c>
      <c r="R38" s="1" t="str">
        <f aca="false">IF(Q38="","Not yet launched",IF(Q38&lt;=6,"CP1: Launch",IF(Q38&lt;=18,"CP2: Scale",IF(Q38&lt;=36,"CP3: Mature","CP4: Steady"))))</f>
        <v>CP3: Mature</v>
      </c>
      <c r="S38" s="41" t="n">
        <f aca="false">IF(Q38="",0,Assumptions!$B$46)</f>
        <v>2000</v>
      </c>
      <c r="T38" s="42" t="n">
        <f aca="false">IF(Q38="",0,IF(Q38&lt;=6,Assumptions!$B$14,IF(Q38&lt;=18,Assumptions!$B$15,IF(Q38&lt;=36,Assumptions!$B$16,Assumptions!$B$17))))</f>
        <v>0.08</v>
      </c>
      <c r="U38" s="41" t="n">
        <f aca="false">IF(Q38="",0,IF(Q38=1,Assumptions!$B$65,ROUND(MAX(W37,1)*T38,0)))</f>
        <v>4</v>
      </c>
      <c r="V38" s="41" t="n">
        <f aca="false">IF(Q38="",0,ROUND(W37*Assumptions!$B$49,0))</f>
        <v>1</v>
      </c>
      <c r="W38" s="41" t="n">
        <f aca="false">IF(Q38="",0,MIN(W37+U38-V38,S38))</f>
        <v>56</v>
      </c>
      <c r="X38" s="42" t="n">
        <f aca="false">IF(Q38="",0,Assumptions!$B$59)</f>
        <v>0.35</v>
      </c>
      <c r="Y38" s="43" t="n">
        <f aca="false">W38*X38</f>
        <v>19.6</v>
      </c>
      <c r="Z38" s="44" t="n">
        <f aca="false">L38</f>
        <v>46.06</v>
      </c>
      <c r="AA38" s="45" t="n">
        <f aca="false">Y38*Z38</f>
        <v>902.776</v>
      </c>
      <c r="AB38" s="45" t="n">
        <f aca="false">IF(A38=Assumptions!$B$45,Assumptions!$B$47+Assumptions!$B$48,IF(A38&gt;Assumptions!$B$45,Assumptions!$B$47,0))</f>
        <v>50</v>
      </c>
      <c r="AC38" s="45" t="n">
        <f aca="false">AA38*Assumptions!$B$33</f>
        <v>767.3596</v>
      </c>
      <c r="AD38" s="41" t="n">
        <f aca="false">I38+W38</f>
        <v>208</v>
      </c>
      <c r="AE38" s="45" t="n">
        <f aca="false">M38+AA38</f>
        <v>7903.896</v>
      </c>
      <c r="AF38" s="45" t="n">
        <f aca="false">N38+AB38+AJ38+AK38+AL38+Assumptions!$B$68</f>
        <v>33089.2266666667</v>
      </c>
      <c r="AG38" s="45" t="n">
        <f aca="false">O38+AC38</f>
        <v>6718.3116</v>
      </c>
      <c r="AH38" s="45" t="n">
        <f aca="false">AG38-AF38</f>
        <v>-26370.9150666667</v>
      </c>
      <c r="AI38" s="42" t="n">
        <f aca="false">IFERROR((AD38-AD37)/AD37,"")</f>
        <v>0.0348258706467662</v>
      </c>
      <c r="AJ38" s="46" t="n">
        <f aca="false">MAX(Assumptions!$B$71,Assumptions!$B$69*0.5^(A38/Assumptions!$B$70))+Assumptions!$B$72*(K38+Y38)</f>
        <v>135.06</v>
      </c>
      <c r="AK38" s="46" t="n">
        <f aca="false">IF(AND(Assumptions!$B$76=1,A38&gt;=Assumptions!$B$77),Assumptions!$B$78/12,0)</f>
        <v>4583.33333333333</v>
      </c>
      <c r="AL38" s="46" t="n">
        <f aca="false">IF(AND(Assumptions!$B$86=1,Q38&lt;&gt;""),Assumptions!$B$87/12,0)</f>
        <v>0</v>
      </c>
    </row>
    <row r="39" customFormat="false" ht="15" hidden="false" customHeight="true" outlineLevel="0" collapsed="false">
      <c r="A39" s="34" t="n">
        <v>38</v>
      </c>
      <c r="B39" s="8" t="s">
        <v>221</v>
      </c>
      <c r="C39" s="34" t="n">
        <f aca="false">IF(A39&lt;=12,1,IF(A39&lt;=24,2,IF(A39&lt;=36,3,4)))</f>
        <v>4</v>
      </c>
      <c r="D39" s="8" t="str">
        <f aca="false">IF(A39&lt;=6,"P1: Pilot-&gt;Seed",IF(A39&lt;=18,"P2: Scale/Series A",IF(A39&lt;=36,"P3: Post-Series A","P4: Maturity")))</f>
        <v>P4: Maturity</v>
      </c>
      <c r="E39" s="35" t="n">
        <f aca="false">IF(C39=1,Assumptions!$B$5,IF(C39=2,Assumptions!$B$6,IF(C39=3,Assumptions!$B$7,Assumptions!$B$8)))</f>
        <v>15000</v>
      </c>
      <c r="F39" s="36" t="n">
        <f aca="false">IF(A39&lt;=6,Assumptions!$B$14,IF(A39&lt;=18,Assumptions!$B$15,IF(A39&lt;=36,Assumptions!$B$16,Assumptions!$B$17)))</f>
        <v>0.05</v>
      </c>
      <c r="G39" s="37" t="n">
        <f aca="false">ROUND(MAX(I38,1)*F39,0)</f>
        <v>8</v>
      </c>
      <c r="H39" s="37" t="n">
        <f aca="false">ROUND(I38*Assumptions!$B$18,0)</f>
        <v>3</v>
      </c>
      <c r="I39" s="37" t="n">
        <f aca="false">MIN(I38+G39-H39,E39)</f>
        <v>157</v>
      </c>
      <c r="J39" s="36" t="n">
        <f aca="false">Assumptions!$B$28</f>
        <v>1</v>
      </c>
      <c r="K39" s="38" t="n">
        <f aca="false">I39*J39</f>
        <v>157</v>
      </c>
      <c r="L39" s="39" t="n">
        <f aca="false">Assumptions!$B$10*(1-Assumptions!$B$12)+Assumptions!$B$11*Assumptions!$B$12</f>
        <v>46.06</v>
      </c>
      <c r="M39" s="18" t="n">
        <f aca="false">K39*L39</f>
        <v>7231.42</v>
      </c>
      <c r="N39" s="40" t="n">
        <f aca="false">((IF(A39&lt;=Assumptions!$B$91,Assumptions!$B$90,IF(A39&gt;=Assumptions!$B$92,1,Assumptions!$B$90+(1-Assumptions!$B$90)*(A39-Assumptions!$B$91)/(Assumptions!$B$92-Assumptions!$B$91))))*Assumptions!$B$81*Assumptions!$B$75+Assumptions!$B$82)*(1+Assumptions!$B$83)/12</f>
        <v>28270.8333333333</v>
      </c>
      <c r="O39" s="18" t="n">
        <f aca="false">M39*Assumptions!$B$33</f>
        <v>6146.707</v>
      </c>
      <c r="P39" s="18" t="n">
        <f aca="false">O39-N39</f>
        <v>-22124.1263333333</v>
      </c>
      <c r="Q39" s="1" t="n">
        <f aca="false">IF(A39&gt;=Assumptions!$B$45,A39-Assumptions!$B$45+1,"")</f>
        <v>26</v>
      </c>
      <c r="R39" s="1" t="str">
        <f aca="false">IF(Q39="","Not yet launched",IF(Q39&lt;=6,"CP1: Launch",IF(Q39&lt;=18,"CP2: Scale",IF(Q39&lt;=36,"CP3: Mature","CP4: Steady"))))</f>
        <v>CP3: Mature</v>
      </c>
      <c r="S39" s="41" t="n">
        <f aca="false">IF(Q39="",0,Assumptions!$B$46)</f>
        <v>2000</v>
      </c>
      <c r="T39" s="42" t="n">
        <f aca="false">IF(Q39="",0,IF(Q39&lt;=6,Assumptions!$B$14,IF(Q39&lt;=18,Assumptions!$B$15,IF(Q39&lt;=36,Assumptions!$B$16,Assumptions!$B$17))))</f>
        <v>0.08</v>
      </c>
      <c r="U39" s="41" t="n">
        <f aca="false">IF(Q39="",0,IF(Q39=1,Assumptions!$B$65,ROUND(MAX(W38,1)*T39,0)))</f>
        <v>4</v>
      </c>
      <c r="V39" s="41" t="n">
        <f aca="false">IF(Q39="",0,ROUND(W38*Assumptions!$B$49,0))</f>
        <v>1</v>
      </c>
      <c r="W39" s="41" t="n">
        <f aca="false">IF(Q39="",0,MIN(W38+U39-V39,S39))</f>
        <v>59</v>
      </c>
      <c r="X39" s="42" t="n">
        <f aca="false">IF(Q39="",0,Assumptions!$B$60)</f>
        <v>0.35</v>
      </c>
      <c r="Y39" s="43" t="n">
        <f aca="false">W39*X39</f>
        <v>20.65</v>
      </c>
      <c r="Z39" s="44" t="n">
        <f aca="false">L39</f>
        <v>46.06</v>
      </c>
      <c r="AA39" s="45" t="n">
        <f aca="false">Y39*Z39</f>
        <v>951.139</v>
      </c>
      <c r="AB39" s="45" t="n">
        <f aca="false">IF(A39=Assumptions!$B$45,Assumptions!$B$47+Assumptions!$B$48,IF(A39&gt;Assumptions!$B$45,Assumptions!$B$47,0))</f>
        <v>50</v>
      </c>
      <c r="AC39" s="45" t="n">
        <f aca="false">AA39*Assumptions!$B$33</f>
        <v>808.46815</v>
      </c>
      <c r="AD39" s="41" t="n">
        <f aca="false">I39+W39</f>
        <v>216</v>
      </c>
      <c r="AE39" s="45" t="n">
        <f aca="false">M39+AA39</f>
        <v>8182.559</v>
      </c>
      <c r="AF39" s="45" t="n">
        <f aca="false">N39+AB39+AJ39+AK39+AL39+Assumptions!$B$68</f>
        <v>33091.3441666667</v>
      </c>
      <c r="AG39" s="45" t="n">
        <f aca="false">O39+AC39</f>
        <v>6955.17515</v>
      </c>
      <c r="AH39" s="45" t="n">
        <f aca="false">AG39-AF39</f>
        <v>-26136.1690166667</v>
      </c>
      <c r="AI39" s="42" t="n">
        <f aca="false">IFERROR((AD39-AD38)/AD38,"")</f>
        <v>0.0384615384615385</v>
      </c>
      <c r="AJ39" s="46" t="n">
        <f aca="false">MAX(Assumptions!$B$71,Assumptions!$B$69*0.5^(A39/Assumptions!$B$70))+Assumptions!$B$72*(K39+Y39)</f>
        <v>137.1775</v>
      </c>
      <c r="AK39" s="46" t="n">
        <f aca="false">IF(AND(Assumptions!$B$76=1,A39&gt;=Assumptions!$B$77),Assumptions!$B$78/12,0)</f>
        <v>4583.33333333333</v>
      </c>
      <c r="AL39" s="46" t="n">
        <f aca="false">IF(AND(Assumptions!$B$86=1,Q39&lt;&gt;""),Assumptions!$B$87/12,0)</f>
        <v>0</v>
      </c>
    </row>
    <row r="40" customFormat="false" ht="15" hidden="false" customHeight="true" outlineLevel="0" collapsed="false">
      <c r="A40" s="34" t="n">
        <v>39</v>
      </c>
      <c r="B40" s="8" t="s">
        <v>222</v>
      </c>
      <c r="C40" s="34" t="n">
        <f aca="false">IF(A40&lt;=12,1,IF(A40&lt;=24,2,IF(A40&lt;=36,3,4)))</f>
        <v>4</v>
      </c>
      <c r="D40" s="8" t="str">
        <f aca="false">IF(A40&lt;=6,"P1: Pilot-&gt;Seed",IF(A40&lt;=18,"P2: Scale/Series A",IF(A40&lt;=36,"P3: Post-Series A","P4: Maturity")))</f>
        <v>P4: Maturity</v>
      </c>
      <c r="E40" s="35" t="n">
        <f aca="false">IF(C40=1,Assumptions!$B$5,IF(C40=2,Assumptions!$B$6,IF(C40=3,Assumptions!$B$7,Assumptions!$B$8)))</f>
        <v>15000</v>
      </c>
      <c r="F40" s="36" t="n">
        <f aca="false">IF(A40&lt;=6,Assumptions!$B$14,IF(A40&lt;=18,Assumptions!$B$15,IF(A40&lt;=36,Assumptions!$B$16,Assumptions!$B$17)))</f>
        <v>0.05</v>
      </c>
      <c r="G40" s="37" t="n">
        <f aca="false">ROUND(MAX(I39,1)*F40,0)</f>
        <v>8</v>
      </c>
      <c r="H40" s="37" t="n">
        <f aca="false">ROUND(I39*Assumptions!$B$18,0)</f>
        <v>3</v>
      </c>
      <c r="I40" s="37" t="n">
        <f aca="false">MIN(I39+G40-H40,E40)</f>
        <v>162</v>
      </c>
      <c r="J40" s="36" t="n">
        <f aca="false">Assumptions!$B$29</f>
        <v>0.85</v>
      </c>
      <c r="K40" s="38" t="n">
        <f aca="false">I40*J40</f>
        <v>137.7</v>
      </c>
      <c r="L40" s="39" t="n">
        <f aca="false">Assumptions!$B$10*(1-Assumptions!$B$12)+Assumptions!$B$11*Assumptions!$B$12</f>
        <v>46.06</v>
      </c>
      <c r="M40" s="18" t="n">
        <f aca="false">K40*L40</f>
        <v>6342.462</v>
      </c>
      <c r="N40" s="40" t="n">
        <f aca="false">((IF(A40&lt;=Assumptions!$B$91,Assumptions!$B$90,IF(A40&gt;=Assumptions!$B$92,1,Assumptions!$B$90+(1-Assumptions!$B$90)*(A40-Assumptions!$B$91)/(Assumptions!$B$92-Assumptions!$B$91))))*Assumptions!$B$81*Assumptions!$B$75+Assumptions!$B$82)*(1+Assumptions!$B$83)/12</f>
        <v>28270.8333333333</v>
      </c>
      <c r="O40" s="18" t="n">
        <f aca="false">M40*Assumptions!$B$33</f>
        <v>5391.0927</v>
      </c>
      <c r="P40" s="18" t="n">
        <f aca="false">O40-N40</f>
        <v>-22879.7406333333</v>
      </c>
      <c r="Q40" s="1" t="n">
        <f aca="false">IF(A40&gt;=Assumptions!$B$45,A40-Assumptions!$B$45+1,"")</f>
        <v>27</v>
      </c>
      <c r="R40" s="1" t="str">
        <f aca="false">IF(Q40="","Not yet launched",IF(Q40&lt;=6,"CP1: Launch",IF(Q40&lt;=18,"CP2: Scale",IF(Q40&lt;=36,"CP3: Mature","CP4: Steady"))))</f>
        <v>CP3: Mature</v>
      </c>
      <c r="S40" s="41" t="n">
        <f aca="false">IF(Q40="",0,Assumptions!$B$46)</f>
        <v>2000</v>
      </c>
      <c r="T40" s="42" t="n">
        <f aca="false">IF(Q40="",0,IF(Q40&lt;=6,Assumptions!$B$14,IF(Q40&lt;=18,Assumptions!$B$15,IF(Q40&lt;=36,Assumptions!$B$16,Assumptions!$B$17))))</f>
        <v>0.08</v>
      </c>
      <c r="U40" s="41" t="n">
        <f aca="false">IF(Q40="",0,IF(Q40=1,Assumptions!$B$65,ROUND(MAX(W39,1)*T40,0)))</f>
        <v>5</v>
      </c>
      <c r="V40" s="41" t="n">
        <f aca="false">IF(Q40="",0,ROUND(W39*Assumptions!$B$49,0))</f>
        <v>1</v>
      </c>
      <c r="W40" s="41" t="n">
        <f aca="false">IF(Q40="",0,MIN(W39+U40-V40,S40))</f>
        <v>63</v>
      </c>
      <c r="X40" s="42" t="n">
        <f aca="false">IF(Q40="",0,Assumptions!$B$61)</f>
        <v>0.4</v>
      </c>
      <c r="Y40" s="43" t="n">
        <f aca="false">W40*X40</f>
        <v>25.2</v>
      </c>
      <c r="Z40" s="44" t="n">
        <f aca="false">L40</f>
        <v>46.06</v>
      </c>
      <c r="AA40" s="45" t="n">
        <f aca="false">Y40*Z40</f>
        <v>1160.712</v>
      </c>
      <c r="AB40" s="45" t="n">
        <f aca="false">IF(A40=Assumptions!$B$45,Assumptions!$B$47+Assumptions!$B$48,IF(A40&gt;Assumptions!$B$45,Assumptions!$B$47,0))</f>
        <v>50</v>
      </c>
      <c r="AC40" s="45" t="n">
        <f aca="false">AA40*Assumptions!$B$33</f>
        <v>986.6052</v>
      </c>
      <c r="AD40" s="41" t="n">
        <f aca="false">I40+W40</f>
        <v>225</v>
      </c>
      <c r="AE40" s="45" t="n">
        <f aca="false">M40+AA40</f>
        <v>7503.174</v>
      </c>
      <c r="AF40" s="45" t="n">
        <f aca="false">N40+AB40+AJ40+AK40+AL40+Assumptions!$B$68</f>
        <v>33086.1816666667</v>
      </c>
      <c r="AG40" s="45" t="n">
        <f aca="false">O40+AC40</f>
        <v>6377.6979</v>
      </c>
      <c r="AH40" s="45" t="n">
        <f aca="false">AG40-AF40</f>
        <v>-26708.4837666667</v>
      </c>
      <c r="AI40" s="42" t="n">
        <f aca="false">IFERROR((AD40-AD39)/AD39,"")</f>
        <v>0.0416666666666667</v>
      </c>
      <c r="AJ40" s="46" t="n">
        <f aca="false">MAX(Assumptions!$B$71,Assumptions!$B$69*0.5^(A40/Assumptions!$B$70))+Assumptions!$B$72*(K40+Y40)</f>
        <v>132.015</v>
      </c>
      <c r="AK40" s="46" t="n">
        <f aca="false">IF(AND(Assumptions!$B$76=1,A40&gt;=Assumptions!$B$77),Assumptions!$B$78/12,0)</f>
        <v>4583.33333333333</v>
      </c>
      <c r="AL40" s="46" t="n">
        <f aca="false">IF(AND(Assumptions!$B$86=1,Q40&lt;&gt;""),Assumptions!$B$87/12,0)</f>
        <v>0</v>
      </c>
    </row>
    <row r="41" customFormat="false" ht="15" hidden="false" customHeight="true" outlineLevel="0" collapsed="false">
      <c r="A41" s="34" t="n">
        <v>40</v>
      </c>
      <c r="B41" s="8" t="s">
        <v>223</v>
      </c>
      <c r="C41" s="34" t="n">
        <f aca="false">IF(A41&lt;=12,1,IF(A41&lt;=24,2,IF(A41&lt;=36,3,4)))</f>
        <v>4</v>
      </c>
      <c r="D41" s="8" t="str">
        <f aca="false">IF(A41&lt;=6,"P1: Pilot-&gt;Seed",IF(A41&lt;=18,"P2: Scale/Series A",IF(A41&lt;=36,"P3: Post-Series A","P4: Maturity")))</f>
        <v>P4: Maturity</v>
      </c>
      <c r="E41" s="35" t="n">
        <f aca="false">IF(C41=1,Assumptions!$B$5,IF(C41=2,Assumptions!$B$6,IF(C41=3,Assumptions!$B$7,Assumptions!$B$8)))</f>
        <v>15000</v>
      </c>
      <c r="F41" s="36" t="n">
        <f aca="false">IF(A41&lt;=6,Assumptions!$B$14,IF(A41&lt;=18,Assumptions!$B$15,IF(A41&lt;=36,Assumptions!$B$16,Assumptions!$B$17)))</f>
        <v>0.05</v>
      </c>
      <c r="G41" s="37" t="n">
        <f aca="false">ROUND(MAX(I40,1)*F41,0)</f>
        <v>8</v>
      </c>
      <c r="H41" s="37" t="n">
        <f aca="false">ROUND(I40*Assumptions!$B$18,0)</f>
        <v>3</v>
      </c>
      <c r="I41" s="37" t="n">
        <f aca="false">MIN(I40+G41-H41,E41)</f>
        <v>167</v>
      </c>
      <c r="J41" s="36" t="n">
        <f aca="false">Assumptions!$B$30</f>
        <v>0.45</v>
      </c>
      <c r="K41" s="38" t="n">
        <f aca="false">I41*J41</f>
        <v>75.15</v>
      </c>
      <c r="L41" s="39" t="n">
        <f aca="false">Assumptions!$B$10*(1-Assumptions!$B$12)+Assumptions!$B$11*Assumptions!$B$12</f>
        <v>46.06</v>
      </c>
      <c r="M41" s="18" t="n">
        <f aca="false">K41*L41</f>
        <v>3461.409</v>
      </c>
      <c r="N41" s="40" t="n">
        <f aca="false">((IF(A41&lt;=Assumptions!$B$91,Assumptions!$B$90,IF(A41&gt;=Assumptions!$B$92,1,Assumptions!$B$90+(1-Assumptions!$B$90)*(A41-Assumptions!$B$91)/(Assumptions!$B$92-Assumptions!$B$91))))*Assumptions!$B$81*Assumptions!$B$75+Assumptions!$B$82)*(1+Assumptions!$B$83)/12</f>
        <v>28270.8333333333</v>
      </c>
      <c r="O41" s="18" t="n">
        <f aca="false">M41*Assumptions!$B$33</f>
        <v>2942.19765</v>
      </c>
      <c r="P41" s="18" t="n">
        <f aca="false">O41-N41</f>
        <v>-25328.6356833333</v>
      </c>
      <c r="Q41" s="1" t="n">
        <f aca="false">IF(A41&gt;=Assumptions!$B$45,A41-Assumptions!$B$45+1,"")</f>
        <v>28</v>
      </c>
      <c r="R41" s="1" t="str">
        <f aca="false">IF(Q41="","Not yet launched",IF(Q41&lt;=6,"CP1: Launch",IF(Q41&lt;=18,"CP2: Scale",IF(Q41&lt;=36,"CP3: Mature","CP4: Steady"))))</f>
        <v>CP3: Mature</v>
      </c>
      <c r="S41" s="41" t="n">
        <f aca="false">IF(Q41="",0,Assumptions!$B$46)</f>
        <v>2000</v>
      </c>
      <c r="T41" s="42" t="n">
        <f aca="false">IF(Q41="",0,IF(Q41&lt;=6,Assumptions!$B$14,IF(Q41&lt;=18,Assumptions!$B$15,IF(Q41&lt;=36,Assumptions!$B$16,Assumptions!$B$17))))</f>
        <v>0.08</v>
      </c>
      <c r="U41" s="41" t="n">
        <f aca="false">IF(Q41="",0,IF(Q41=1,Assumptions!$B$65,ROUND(MAX(W40,1)*T41,0)))</f>
        <v>5</v>
      </c>
      <c r="V41" s="41" t="n">
        <f aca="false">IF(Q41="",0,ROUND(W40*Assumptions!$B$49,0))</f>
        <v>1</v>
      </c>
      <c r="W41" s="41" t="n">
        <f aca="false">IF(Q41="",0,MIN(W40+U41-V41,S41))</f>
        <v>67</v>
      </c>
      <c r="X41" s="42" t="n">
        <f aca="false">IF(Q41="",0,Assumptions!$B$62)</f>
        <v>0.55</v>
      </c>
      <c r="Y41" s="43" t="n">
        <f aca="false">W41*X41</f>
        <v>36.85</v>
      </c>
      <c r="Z41" s="44" t="n">
        <f aca="false">L41</f>
        <v>46.06</v>
      </c>
      <c r="AA41" s="45" t="n">
        <f aca="false">Y41*Z41</f>
        <v>1697.311</v>
      </c>
      <c r="AB41" s="45" t="n">
        <f aca="false">IF(A41=Assumptions!$B$45,Assumptions!$B$47+Assumptions!$B$48,IF(A41&gt;Assumptions!$B$45,Assumptions!$B$47,0))</f>
        <v>50</v>
      </c>
      <c r="AC41" s="45" t="n">
        <f aca="false">AA41*Assumptions!$B$33</f>
        <v>1442.71435</v>
      </c>
      <c r="AD41" s="41" t="n">
        <f aca="false">I41+W41</f>
        <v>234</v>
      </c>
      <c r="AE41" s="45" t="n">
        <f aca="false">M41+AA41</f>
        <v>5158.72</v>
      </c>
      <c r="AF41" s="45" t="n">
        <f aca="false">N41+AB41+AJ41+AK41+AL41+Assumptions!$B$68</f>
        <v>33068.3666666667</v>
      </c>
      <c r="AG41" s="45" t="n">
        <f aca="false">O41+AC41</f>
        <v>4384.912</v>
      </c>
      <c r="AH41" s="45" t="n">
        <f aca="false">AG41-AF41</f>
        <v>-28683.4546666667</v>
      </c>
      <c r="AI41" s="42" t="n">
        <f aca="false">IFERROR((AD41-AD40)/AD40,"")</f>
        <v>0.04</v>
      </c>
      <c r="AJ41" s="46" t="n">
        <f aca="false">MAX(Assumptions!$B$71,Assumptions!$B$69*0.5^(A41/Assumptions!$B$70))+Assumptions!$B$72*(K41+Y41)</f>
        <v>114.2</v>
      </c>
      <c r="AK41" s="46" t="n">
        <f aca="false">IF(AND(Assumptions!$B$76=1,A41&gt;=Assumptions!$B$77),Assumptions!$B$78/12,0)</f>
        <v>4583.33333333333</v>
      </c>
      <c r="AL41" s="46" t="n">
        <f aca="false">IF(AND(Assumptions!$B$86=1,Q41&lt;&gt;""),Assumptions!$B$87/12,0)</f>
        <v>0</v>
      </c>
    </row>
    <row r="42" customFormat="false" ht="15" hidden="false" customHeight="true" outlineLevel="0" collapsed="false">
      <c r="A42" s="34" t="n">
        <v>41</v>
      </c>
      <c r="B42" s="8" t="s">
        <v>224</v>
      </c>
      <c r="C42" s="34" t="n">
        <f aca="false">IF(A42&lt;=12,1,IF(A42&lt;=24,2,IF(A42&lt;=36,3,4)))</f>
        <v>4</v>
      </c>
      <c r="D42" s="8" t="str">
        <f aca="false">IF(A42&lt;=6,"P1: Pilot-&gt;Seed",IF(A42&lt;=18,"P2: Scale/Series A",IF(A42&lt;=36,"P3: Post-Series A","P4: Maturity")))</f>
        <v>P4: Maturity</v>
      </c>
      <c r="E42" s="35" t="n">
        <f aca="false">IF(C42=1,Assumptions!$B$5,IF(C42=2,Assumptions!$B$6,IF(C42=3,Assumptions!$B$7,Assumptions!$B$8)))</f>
        <v>15000</v>
      </c>
      <c r="F42" s="36" t="n">
        <f aca="false">IF(A42&lt;=6,Assumptions!$B$14,IF(A42&lt;=18,Assumptions!$B$15,IF(A42&lt;=36,Assumptions!$B$16,Assumptions!$B$17)))</f>
        <v>0.05</v>
      </c>
      <c r="G42" s="37" t="n">
        <f aca="false">ROUND(MAX(I41,1)*F42,0)</f>
        <v>8</v>
      </c>
      <c r="H42" s="37" t="n">
        <f aca="false">ROUND(I41*Assumptions!$B$18,0)</f>
        <v>3</v>
      </c>
      <c r="I42" s="37" t="n">
        <f aca="false">MIN(I41+G42-H42,E42)</f>
        <v>172</v>
      </c>
      <c r="J42" s="36" t="n">
        <f aca="false">Assumptions!$B$31</f>
        <v>0.35</v>
      </c>
      <c r="K42" s="38" t="n">
        <f aca="false">I42*J42</f>
        <v>60.2</v>
      </c>
      <c r="L42" s="39" t="n">
        <f aca="false">Assumptions!$B$10*(1-Assumptions!$B$12)+Assumptions!$B$11*Assumptions!$B$12</f>
        <v>46.06</v>
      </c>
      <c r="M42" s="18" t="n">
        <f aca="false">K42*L42</f>
        <v>2772.812</v>
      </c>
      <c r="N42" s="40" t="n">
        <f aca="false">((IF(A42&lt;=Assumptions!$B$91,Assumptions!$B$90,IF(A42&gt;=Assumptions!$B$92,1,Assumptions!$B$90+(1-Assumptions!$B$90)*(A42-Assumptions!$B$91)/(Assumptions!$B$92-Assumptions!$B$91))))*Assumptions!$B$81*Assumptions!$B$75+Assumptions!$B$82)*(1+Assumptions!$B$83)/12</f>
        <v>28270.8333333333</v>
      </c>
      <c r="O42" s="18" t="n">
        <f aca="false">M42*Assumptions!$B$33</f>
        <v>2356.8902</v>
      </c>
      <c r="P42" s="18" t="n">
        <f aca="false">O42-N42</f>
        <v>-25913.9431333333</v>
      </c>
      <c r="Q42" s="1" t="n">
        <f aca="false">IF(A42&gt;=Assumptions!$B$45,A42-Assumptions!$B$45+1,"")</f>
        <v>29</v>
      </c>
      <c r="R42" s="1" t="str">
        <f aca="false">IF(Q42="","Not yet launched",IF(Q42&lt;=6,"CP1: Launch",IF(Q42&lt;=18,"CP2: Scale",IF(Q42&lt;=36,"CP3: Mature","CP4: Steady"))))</f>
        <v>CP3: Mature</v>
      </c>
      <c r="S42" s="41" t="n">
        <f aca="false">IF(Q42="",0,Assumptions!$B$46)</f>
        <v>2000</v>
      </c>
      <c r="T42" s="42" t="n">
        <f aca="false">IF(Q42="",0,IF(Q42&lt;=6,Assumptions!$B$14,IF(Q42&lt;=18,Assumptions!$B$15,IF(Q42&lt;=36,Assumptions!$B$16,Assumptions!$B$17))))</f>
        <v>0.08</v>
      </c>
      <c r="U42" s="41" t="n">
        <f aca="false">IF(Q42="",0,IF(Q42=1,Assumptions!$B$65,ROUND(MAX(W41,1)*T42,0)))</f>
        <v>5</v>
      </c>
      <c r="V42" s="41" t="n">
        <f aca="false">IF(Q42="",0,ROUND(W41*Assumptions!$B$49,0))</f>
        <v>1</v>
      </c>
      <c r="W42" s="41" t="n">
        <f aca="false">IF(Q42="",0,MIN(W41+U42-V42,S42))</f>
        <v>71</v>
      </c>
      <c r="X42" s="42" t="n">
        <f aca="false">IF(Q42="",0,Assumptions!$B$63)</f>
        <v>0.9</v>
      </c>
      <c r="Y42" s="43" t="n">
        <f aca="false">W42*X42</f>
        <v>63.9</v>
      </c>
      <c r="Z42" s="44" t="n">
        <f aca="false">L42</f>
        <v>46.06</v>
      </c>
      <c r="AA42" s="45" t="n">
        <f aca="false">Y42*Z42</f>
        <v>2943.234</v>
      </c>
      <c r="AB42" s="45" t="n">
        <f aca="false">IF(A42=Assumptions!$B$45,Assumptions!$B$47+Assumptions!$B$48,IF(A42&gt;Assumptions!$B$45,Assumptions!$B$47,0))</f>
        <v>50</v>
      </c>
      <c r="AC42" s="45" t="n">
        <f aca="false">AA42*Assumptions!$B$33</f>
        <v>2501.7489</v>
      </c>
      <c r="AD42" s="41" t="n">
        <f aca="false">I42+W42</f>
        <v>243</v>
      </c>
      <c r="AE42" s="45" t="n">
        <f aca="false">M42+AA42</f>
        <v>5716.046</v>
      </c>
      <c r="AF42" s="45" t="n">
        <f aca="false">N42+AB42+AJ42+AK42+AL42+Assumptions!$B$68</f>
        <v>33072.6016666667</v>
      </c>
      <c r="AG42" s="45" t="n">
        <f aca="false">O42+AC42</f>
        <v>4858.6391</v>
      </c>
      <c r="AH42" s="45" t="n">
        <f aca="false">AG42-AF42</f>
        <v>-28213.9625666667</v>
      </c>
      <c r="AI42" s="42" t="n">
        <f aca="false">IFERROR((AD42-AD41)/AD41,"")</f>
        <v>0.0384615384615385</v>
      </c>
      <c r="AJ42" s="46" t="n">
        <f aca="false">MAX(Assumptions!$B$71,Assumptions!$B$69*0.5^(A42/Assumptions!$B$70))+Assumptions!$B$72*(K42+Y42)</f>
        <v>118.435</v>
      </c>
      <c r="AK42" s="46" t="n">
        <f aca="false">IF(AND(Assumptions!$B$76=1,A42&gt;=Assumptions!$B$77),Assumptions!$B$78/12,0)</f>
        <v>4583.33333333333</v>
      </c>
      <c r="AL42" s="46" t="n">
        <f aca="false">IF(AND(Assumptions!$B$86=1,Q42&lt;&gt;""),Assumptions!$B$87/12,0)</f>
        <v>0</v>
      </c>
    </row>
    <row r="43" customFormat="false" ht="15" hidden="false" customHeight="true" outlineLevel="0" collapsed="false">
      <c r="A43" s="34" t="n">
        <v>42</v>
      </c>
      <c r="B43" s="8" t="s">
        <v>225</v>
      </c>
      <c r="C43" s="34" t="n">
        <f aca="false">IF(A43&lt;=12,1,IF(A43&lt;=24,2,IF(A43&lt;=36,3,4)))</f>
        <v>4</v>
      </c>
      <c r="D43" s="8" t="str">
        <f aca="false">IF(A43&lt;=6,"P1: Pilot-&gt;Seed",IF(A43&lt;=18,"P2: Scale/Series A",IF(A43&lt;=36,"P3: Post-Series A","P4: Maturity")))</f>
        <v>P4: Maturity</v>
      </c>
      <c r="E43" s="35" t="n">
        <f aca="false">IF(C43=1,Assumptions!$B$5,IF(C43=2,Assumptions!$B$6,IF(C43=3,Assumptions!$B$7,Assumptions!$B$8)))</f>
        <v>15000</v>
      </c>
      <c r="F43" s="36" t="n">
        <f aca="false">IF(A43&lt;=6,Assumptions!$B$14,IF(A43&lt;=18,Assumptions!$B$15,IF(A43&lt;=36,Assumptions!$B$16,Assumptions!$B$17)))</f>
        <v>0.05</v>
      </c>
      <c r="G43" s="37" t="n">
        <f aca="false">ROUND(MAX(I42,1)*F43,0)</f>
        <v>9</v>
      </c>
      <c r="H43" s="37" t="n">
        <f aca="false">ROUND(I42*Assumptions!$B$18,0)</f>
        <v>3</v>
      </c>
      <c r="I43" s="37" t="n">
        <f aca="false">MIN(I42+G43-H43,E43)</f>
        <v>178</v>
      </c>
      <c r="J43" s="36" t="n">
        <f aca="false">Assumptions!$B$20</f>
        <v>0.35</v>
      </c>
      <c r="K43" s="38" t="n">
        <f aca="false">I43*J43</f>
        <v>62.3</v>
      </c>
      <c r="L43" s="39" t="n">
        <f aca="false">Assumptions!$B$10*(1-Assumptions!$B$12)+Assumptions!$B$11*Assumptions!$B$12</f>
        <v>46.06</v>
      </c>
      <c r="M43" s="18" t="n">
        <f aca="false">K43*L43</f>
        <v>2869.538</v>
      </c>
      <c r="N43" s="40" t="n">
        <f aca="false">((IF(A43&lt;=Assumptions!$B$91,Assumptions!$B$90,IF(A43&gt;=Assumptions!$B$92,1,Assumptions!$B$90+(1-Assumptions!$B$90)*(A43-Assumptions!$B$91)/(Assumptions!$B$92-Assumptions!$B$91))))*Assumptions!$B$81*Assumptions!$B$75+Assumptions!$B$82)*(1+Assumptions!$B$83)/12</f>
        <v>28270.8333333333</v>
      </c>
      <c r="O43" s="18" t="n">
        <f aca="false">M43*Assumptions!$B$33</f>
        <v>2439.1073</v>
      </c>
      <c r="P43" s="18" t="n">
        <f aca="false">O43-N43</f>
        <v>-25831.7260333333</v>
      </c>
      <c r="Q43" s="1" t="n">
        <f aca="false">IF(A43&gt;=Assumptions!$B$45,A43-Assumptions!$B$45+1,"")</f>
        <v>30</v>
      </c>
      <c r="R43" s="1" t="str">
        <f aca="false">IF(Q43="","Not yet launched",IF(Q43&lt;=6,"CP1: Launch",IF(Q43&lt;=18,"CP2: Scale",IF(Q43&lt;=36,"CP3: Mature","CP4: Steady"))))</f>
        <v>CP3: Mature</v>
      </c>
      <c r="S43" s="41" t="n">
        <f aca="false">IF(Q43="",0,Assumptions!$B$46)</f>
        <v>2000</v>
      </c>
      <c r="T43" s="42" t="n">
        <f aca="false">IF(Q43="",0,IF(Q43&lt;=6,Assumptions!$B$14,IF(Q43&lt;=18,Assumptions!$B$15,IF(Q43&lt;=36,Assumptions!$B$16,Assumptions!$B$17))))</f>
        <v>0.08</v>
      </c>
      <c r="U43" s="41" t="n">
        <f aca="false">IF(Q43="",0,IF(Q43=1,Assumptions!$B$65,ROUND(MAX(W42,1)*T43,0)))</f>
        <v>6</v>
      </c>
      <c r="V43" s="41" t="n">
        <f aca="false">IF(Q43="",0,ROUND(W42*Assumptions!$B$49,0))</f>
        <v>1</v>
      </c>
      <c r="W43" s="41" t="n">
        <f aca="false">IF(Q43="",0,MIN(W42+U43-V43,S43))</f>
        <v>76</v>
      </c>
      <c r="X43" s="42" t="n">
        <f aca="false">IF(Q43="",0,Assumptions!$B$52)</f>
        <v>1</v>
      </c>
      <c r="Y43" s="43" t="n">
        <f aca="false">W43*X43</f>
        <v>76</v>
      </c>
      <c r="Z43" s="44" t="n">
        <f aca="false">L43</f>
        <v>46.06</v>
      </c>
      <c r="AA43" s="45" t="n">
        <f aca="false">Y43*Z43</f>
        <v>3500.56</v>
      </c>
      <c r="AB43" s="45" t="n">
        <f aca="false">IF(A43=Assumptions!$B$45,Assumptions!$B$47+Assumptions!$B$48,IF(A43&gt;Assumptions!$B$45,Assumptions!$B$47,0))</f>
        <v>50</v>
      </c>
      <c r="AC43" s="45" t="n">
        <f aca="false">AA43*Assumptions!$B$33</f>
        <v>2975.476</v>
      </c>
      <c r="AD43" s="41" t="n">
        <f aca="false">I43+W43</f>
        <v>254</v>
      </c>
      <c r="AE43" s="45" t="n">
        <f aca="false">M43+AA43</f>
        <v>6370.098</v>
      </c>
      <c r="AF43" s="45" t="n">
        <f aca="false">N43+AB43+AJ43+AK43+AL43+Assumptions!$B$68</f>
        <v>33077.5716666667</v>
      </c>
      <c r="AG43" s="45" t="n">
        <f aca="false">O43+AC43</f>
        <v>5414.5833</v>
      </c>
      <c r="AH43" s="45" t="n">
        <f aca="false">AG43-AF43</f>
        <v>-27662.9883666667</v>
      </c>
      <c r="AI43" s="42" t="n">
        <f aca="false">IFERROR((AD43-AD42)/AD42,"")</f>
        <v>0.0452674897119342</v>
      </c>
      <c r="AJ43" s="46" t="n">
        <f aca="false">MAX(Assumptions!$B$71,Assumptions!$B$69*0.5^(A43/Assumptions!$B$70))+Assumptions!$B$72*(K43+Y43)</f>
        <v>123.405</v>
      </c>
      <c r="AK43" s="46" t="n">
        <f aca="false">IF(AND(Assumptions!$B$76=1,A43&gt;=Assumptions!$B$77),Assumptions!$B$78/12,0)</f>
        <v>4583.33333333333</v>
      </c>
      <c r="AL43" s="46" t="n">
        <f aca="false">IF(AND(Assumptions!$B$86=1,Q43&lt;&gt;""),Assumptions!$B$87/12,0)</f>
        <v>0</v>
      </c>
    </row>
    <row r="44" customFormat="false" ht="15" hidden="false" customHeight="true" outlineLevel="0" collapsed="false">
      <c r="A44" s="34" t="n">
        <v>43</v>
      </c>
      <c r="B44" s="8" t="s">
        <v>226</v>
      </c>
      <c r="C44" s="34" t="n">
        <f aca="false">IF(A44&lt;=12,1,IF(A44&lt;=24,2,IF(A44&lt;=36,3,4)))</f>
        <v>4</v>
      </c>
      <c r="D44" s="8" t="str">
        <f aca="false">IF(A44&lt;=6,"P1: Pilot-&gt;Seed",IF(A44&lt;=18,"P2: Scale/Series A",IF(A44&lt;=36,"P3: Post-Series A","P4: Maturity")))</f>
        <v>P4: Maturity</v>
      </c>
      <c r="E44" s="35" t="n">
        <f aca="false">IF(C44=1,Assumptions!$B$5,IF(C44=2,Assumptions!$B$6,IF(C44=3,Assumptions!$B$7,Assumptions!$B$8)))</f>
        <v>15000</v>
      </c>
      <c r="F44" s="36" t="n">
        <f aca="false">IF(A44&lt;=6,Assumptions!$B$14,IF(A44&lt;=18,Assumptions!$B$15,IF(A44&lt;=36,Assumptions!$B$16,Assumptions!$B$17)))</f>
        <v>0.05</v>
      </c>
      <c r="G44" s="37" t="n">
        <f aca="false">ROUND(MAX(I43,1)*F44,0)</f>
        <v>9</v>
      </c>
      <c r="H44" s="37" t="n">
        <f aca="false">ROUND(I43*Assumptions!$B$18,0)</f>
        <v>4</v>
      </c>
      <c r="I44" s="37" t="n">
        <f aca="false">MIN(I43+G44-H44,E44)</f>
        <v>183</v>
      </c>
      <c r="J44" s="36" t="n">
        <f aca="false">Assumptions!$B$21</f>
        <v>0.35</v>
      </c>
      <c r="K44" s="38" t="n">
        <f aca="false">I44*J44</f>
        <v>64.05</v>
      </c>
      <c r="L44" s="39" t="n">
        <f aca="false">Assumptions!$B$10*(1-Assumptions!$B$12)+Assumptions!$B$11*Assumptions!$B$12</f>
        <v>46.06</v>
      </c>
      <c r="M44" s="18" t="n">
        <f aca="false">K44*L44</f>
        <v>2950.143</v>
      </c>
      <c r="N44" s="40" t="n">
        <f aca="false">((IF(A44&lt;=Assumptions!$B$91,Assumptions!$B$90,IF(A44&gt;=Assumptions!$B$92,1,Assumptions!$B$90+(1-Assumptions!$B$90)*(A44-Assumptions!$B$91)/(Assumptions!$B$92-Assumptions!$B$91))))*Assumptions!$B$81*Assumptions!$B$75+Assumptions!$B$82)*(1+Assumptions!$B$83)/12</f>
        <v>28270.8333333333</v>
      </c>
      <c r="O44" s="18" t="n">
        <f aca="false">M44*Assumptions!$B$33</f>
        <v>2507.62155</v>
      </c>
      <c r="P44" s="18" t="n">
        <f aca="false">O44-N44</f>
        <v>-25763.2117833333</v>
      </c>
      <c r="Q44" s="1" t="n">
        <f aca="false">IF(A44&gt;=Assumptions!$B$45,A44-Assumptions!$B$45+1,"")</f>
        <v>31</v>
      </c>
      <c r="R44" s="1" t="str">
        <f aca="false">IF(Q44="","Not yet launched",IF(Q44&lt;=6,"CP1: Launch",IF(Q44&lt;=18,"CP2: Scale",IF(Q44&lt;=36,"CP3: Mature","CP4: Steady"))))</f>
        <v>CP3: Mature</v>
      </c>
      <c r="S44" s="41" t="n">
        <f aca="false">IF(Q44="",0,Assumptions!$B$46)</f>
        <v>2000</v>
      </c>
      <c r="T44" s="42" t="n">
        <f aca="false">IF(Q44="",0,IF(Q44&lt;=6,Assumptions!$B$14,IF(Q44&lt;=18,Assumptions!$B$15,IF(Q44&lt;=36,Assumptions!$B$16,Assumptions!$B$17))))</f>
        <v>0.08</v>
      </c>
      <c r="U44" s="41" t="n">
        <f aca="false">IF(Q44="",0,IF(Q44=1,Assumptions!$B$65,ROUND(MAX(W43,1)*T44,0)))</f>
        <v>6</v>
      </c>
      <c r="V44" s="41" t="n">
        <f aca="false">IF(Q44="",0,ROUND(W43*Assumptions!$B$49,0))</f>
        <v>2</v>
      </c>
      <c r="W44" s="41" t="n">
        <f aca="false">IF(Q44="",0,MIN(W43+U44-V44,S44))</f>
        <v>80</v>
      </c>
      <c r="X44" s="42" t="n">
        <f aca="false">IF(Q44="",0,Assumptions!$B$53)</f>
        <v>1</v>
      </c>
      <c r="Y44" s="43" t="n">
        <f aca="false">W44*X44</f>
        <v>80</v>
      </c>
      <c r="Z44" s="44" t="n">
        <f aca="false">L44</f>
        <v>46.06</v>
      </c>
      <c r="AA44" s="45" t="n">
        <f aca="false">Y44*Z44</f>
        <v>3684.8</v>
      </c>
      <c r="AB44" s="45" t="n">
        <f aca="false">IF(A44=Assumptions!$B$45,Assumptions!$B$47+Assumptions!$B$48,IF(A44&gt;Assumptions!$B$45,Assumptions!$B$47,0))</f>
        <v>50</v>
      </c>
      <c r="AC44" s="45" t="n">
        <f aca="false">AA44*Assumptions!$B$33</f>
        <v>3132.08</v>
      </c>
      <c r="AD44" s="41" t="n">
        <f aca="false">I44+W44</f>
        <v>263</v>
      </c>
      <c r="AE44" s="45" t="n">
        <f aca="false">M44+AA44</f>
        <v>6634.943</v>
      </c>
      <c r="AF44" s="45" t="n">
        <f aca="false">N44+AB44+AJ44+AK44+AL44+Assumptions!$B$68</f>
        <v>33079.5841666667</v>
      </c>
      <c r="AG44" s="45" t="n">
        <f aca="false">O44+AC44</f>
        <v>5639.70155</v>
      </c>
      <c r="AH44" s="45" t="n">
        <f aca="false">AG44-AF44</f>
        <v>-27439.8826166667</v>
      </c>
      <c r="AI44" s="42" t="n">
        <f aca="false">IFERROR((AD44-AD43)/AD43,"")</f>
        <v>0.0354330708661417</v>
      </c>
      <c r="AJ44" s="46" t="n">
        <f aca="false">MAX(Assumptions!$B$71,Assumptions!$B$69*0.5^(A44/Assumptions!$B$70))+Assumptions!$B$72*(K44+Y44)</f>
        <v>125.4175</v>
      </c>
      <c r="AK44" s="46" t="n">
        <f aca="false">IF(AND(Assumptions!$B$76=1,A44&gt;=Assumptions!$B$77),Assumptions!$B$78/12,0)</f>
        <v>4583.33333333333</v>
      </c>
      <c r="AL44" s="46" t="n">
        <f aca="false">IF(AND(Assumptions!$B$86=1,Q44&lt;&gt;""),Assumptions!$B$87/12,0)</f>
        <v>0</v>
      </c>
    </row>
    <row r="45" customFormat="false" ht="15" hidden="false" customHeight="true" outlineLevel="0" collapsed="false">
      <c r="A45" s="34" t="n">
        <v>44</v>
      </c>
      <c r="B45" s="8" t="s">
        <v>227</v>
      </c>
      <c r="C45" s="34" t="n">
        <f aca="false">IF(A45&lt;=12,1,IF(A45&lt;=24,2,IF(A45&lt;=36,3,4)))</f>
        <v>4</v>
      </c>
      <c r="D45" s="8" t="str">
        <f aca="false">IF(A45&lt;=6,"P1: Pilot-&gt;Seed",IF(A45&lt;=18,"P2: Scale/Series A",IF(A45&lt;=36,"P3: Post-Series A","P4: Maturity")))</f>
        <v>P4: Maturity</v>
      </c>
      <c r="E45" s="35" t="n">
        <f aca="false">IF(C45=1,Assumptions!$B$5,IF(C45=2,Assumptions!$B$6,IF(C45=3,Assumptions!$B$7,Assumptions!$B$8)))</f>
        <v>15000</v>
      </c>
      <c r="F45" s="36" t="n">
        <f aca="false">IF(A45&lt;=6,Assumptions!$B$14,IF(A45&lt;=18,Assumptions!$B$15,IF(A45&lt;=36,Assumptions!$B$16,Assumptions!$B$17)))</f>
        <v>0.05</v>
      </c>
      <c r="G45" s="37" t="n">
        <f aca="false">ROUND(MAX(I44,1)*F45,0)</f>
        <v>9</v>
      </c>
      <c r="H45" s="37" t="n">
        <f aca="false">ROUND(I44*Assumptions!$B$18,0)</f>
        <v>4</v>
      </c>
      <c r="I45" s="37" t="n">
        <f aca="false">MIN(I44+G45-H45,E45)</f>
        <v>188</v>
      </c>
      <c r="J45" s="36" t="n">
        <f aca="false">Assumptions!$B$22</f>
        <v>0.55</v>
      </c>
      <c r="K45" s="38" t="n">
        <f aca="false">I45*J45</f>
        <v>103.4</v>
      </c>
      <c r="L45" s="39" t="n">
        <f aca="false">Assumptions!$B$10*(1-Assumptions!$B$12)+Assumptions!$B$11*Assumptions!$B$12</f>
        <v>46.06</v>
      </c>
      <c r="M45" s="18" t="n">
        <f aca="false">K45*L45</f>
        <v>4762.604</v>
      </c>
      <c r="N45" s="40" t="n">
        <f aca="false">((IF(A45&lt;=Assumptions!$B$91,Assumptions!$B$90,IF(A45&gt;=Assumptions!$B$92,1,Assumptions!$B$90+(1-Assumptions!$B$90)*(A45-Assumptions!$B$91)/(Assumptions!$B$92-Assumptions!$B$91))))*Assumptions!$B$81*Assumptions!$B$75+Assumptions!$B$82)*(1+Assumptions!$B$83)/12</f>
        <v>28270.8333333333</v>
      </c>
      <c r="O45" s="18" t="n">
        <f aca="false">M45*Assumptions!$B$33</f>
        <v>4048.2134</v>
      </c>
      <c r="P45" s="18" t="n">
        <f aca="false">O45-N45</f>
        <v>-24222.6199333333</v>
      </c>
      <c r="Q45" s="1" t="n">
        <f aca="false">IF(A45&gt;=Assumptions!$B$45,A45-Assumptions!$B$45+1,"")</f>
        <v>32</v>
      </c>
      <c r="R45" s="1" t="str">
        <f aca="false">IF(Q45="","Not yet launched",IF(Q45&lt;=6,"CP1: Launch",IF(Q45&lt;=18,"CP2: Scale",IF(Q45&lt;=36,"CP3: Mature","CP4: Steady"))))</f>
        <v>CP3: Mature</v>
      </c>
      <c r="S45" s="41" t="n">
        <f aca="false">IF(Q45="",0,Assumptions!$B$46)</f>
        <v>2000</v>
      </c>
      <c r="T45" s="42" t="n">
        <f aca="false">IF(Q45="",0,IF(Q45&lt;=6,Assumptions!$B$14,IF(Q45&lt;=18,Assumptions!$B$15,IF(Q45&lt;=36,Assumptions!$B$16,Assumptions!$B$17))))</f>
        <v>0.08</v>
      </c>
      <c r="U45" s="41" t="n">
        <f aca="false">IF(Q45="",0,IF(Q45=1,Assumptions!$B$65,ROUND(MAX(W44,1)*T45,0)))</f>
        <v>6</v>
      </c>
      <c r="V45" s="41" t="n">
        <f aca="false">IF(Q45="",0,ROUND(W44*Assumptions!$B$49,0))</f>
        <v>2</v>
      </c>
      <c r="W45" s="41" t="n">
        <f aca="false">IF(Q45="",0,MIN(W44+U45-V45,S45))</f>
        <v>84</v>
      </c>
      <c r="X45" s="42" t="n">
        <f aca="false">IF(Q45="",0,Assumptions!$B$54)</f>
        <v>1</v>
      </c>
      <c r="Y45" s="43" t="n">
        <f aca="false">W45*X45</f>
        <v>84</v>
      </c>
      <c r="Z45" s="44" t="n">
        <f aca="false">L45</f>
        <v>46.06</v>
      </c>
      <c r="AA45" s="45" t="n">
        <f aca="false">Y45*Z45</f>
        <v>3869.04</v>
      </c>
      <c r="AB45" s="45" t="n">
        <f aca="false">IF(A45=Assumptions!$B$45,Assumptions!$B$47+Assumptions!$B$48,IF(A45&gt;Assumptions!$B$45,Assumptions!$B$47,0))</f>
        <v>50</v>
      </c>
      <c r="AC45" s="45" t="n">
        <f aca="false">AA45*Assumptions!$B$33</f>
        <v>3288.684</v>
      </c>
      <c r="AD45" s="41" t="n">
        <f aca="false">I45+W45</f>
        <v>272</v>
      </c>
      <c r="AE45" s="45" t="n">
        <f aca="false">M45+AA45</f>
        <v>8631.644</v>
      </c>
      <c r="AF45" s="45" t="n">
        <f aca="false">N45+AB45+AJ45+AK45+AL45+Assumptions!$B$68</f>
        <v>33094.7566666667</v>
      </c>
      <c r="AG45" s="45" t="n">
        <f aca="false">O45+AC45</f>
        <v>7336.8974</v>
      </c>
      <c r="AH45" s="45" t="n">
        <f aca="false">AG45-AF45</f>
        <v>-25757.8592666667</v>
      </c>
      <c r="AI45" s="42" t="n">
        <f aca="false">IFERROR((AD45-AD44)/AD44,"")</f>
        <v>0.0342205323193916</v>
      </c>
      <c r="AJ45" s="46" t="n">
        <f aca="false">MAX(Assumptions!$B$71,Assumptions!$B$69*0.5^(A45/Assumptions!$B$70))+Assumptions!$B$72*(K45+Y45)</f>
        <v>140.59</v>
      </c>
      <c r="AK45" s="46" t="n">
        <f aca="false">IF(AND(Assumptions!$B$76=1,A45&gt;=Assumptions!$B$77),Assumptions!$B$78/12,0)</f>
        <v>4583.33333333333</v>
      </c>
      <c r="AL45" s="46" t="n">
        <f aca="false">IF(AND(Assumptions!$B$86=1,Q45&lt;&gt;""),Assumptions!$B$87/12,0)</f>
        <v>0</v>
      </c>
    </row>
    <row r="46" customFormat="false" ht="15" hidden="false" customHeight="true" outlineLevel="0" collapsed="false">
      <c r="A46" s="34" t="n">
        <v>45</v>
      </c>
      <c r="B46" s="8" t="s">
        <v>228</v>
      </c>
      <c r="C46" s="34" t="n">
        <f aca="false">IF(A46&lt;=12,1,IF(A46&lt;=24,2,IF(A46&lt;=36,3,4)))</f>
        <v>4</v>
      </c>
      <c r="D46" s="8" t="str">
        <f aca="false">IF(A46&lt;=6,"P1: Pilot-&gt;Seed",IF(A46&lt;=18,"P2: Scale/Series A",IF(A46&lt;=36,"P3: Post-Series A","P4: Maturity")))</f>
        <v>P4: Maturity</v>
      </c>
      <c r="E46" s="35" t="n">
        <f aca="false">IF(C46=1,Assumptions!$B$5,IF(C46=2,Assumptions!$B$6,IF(C46=3,Assumptions!$B$7,Assumptions!$B$8)))</f>
        <v>15000</v>
      </c>
      <c r="F46" s="36" t="n">
        <f aca="false">IF(A46&lt;=6,Assumptions!$B$14,IF(A46&lt;=18,Assumptions!$B$15,IF(A46&lt;=36,Assumptions!$B$16,Assumptions!$B$17)))</f>
        <v>0.05</v>
      </c>
      <c r="G46" s="37" t="n">
        <f aca="false">ROUND(MAX(I45,1)*F46,0)</f>
        <v>9</v>
      </c>
      <c r="H46" s="37" t="n">
        <f aca="false">ROUND(I45*Assumptions!$B$18,0)</f>
        <v>4</v>
      </c>
      <c r="I46" s="37" t="n">
        <f aca="false">MIN(I45+G46-H46,E46)</f>
        <v>193</v>
      </c>
      <c r="J46" s="36" t="n">
        <f aca="false">Assumptions!$B$23</f>
        <v>0.85</v>
      </c>
      <c r="K46" s="38" t="n">
        <f aca="false">I46*J46</f>
        <v>164.05</v>
      </c>
      <c r="L46" s="39" t="n">
        <f aca="false">Assumptions!$B$10*(1-Assumptions!$B$12)+Assumptions!$B$11*Assumptions!$B$12</f>
        <v>46.06</v>
      </c>
      <c r="M46" s="18" t="n">
        <f aca="false">K46*L46</f>
        <v>7556.143</v>
      </c>
      <c r="N46" s="40" t="n">
        <f aca="false">((IF(A46&lt;=Assumptions!$B$91,Assumptions!$B$90,IF(A46&gt;=Assumptions!$B$92,1,Assumptions!$B$90+(1-Assumptions!$B$90)*(A46-Assumptions!$B$91)/(Assumptions!$B$92-Assumptions!$B$91))))*Assumptions!$B$81*Assumptions!$B$75+Assumptions!$B$82)*(1+Assumptions!$B$83)/12</f>
        <v>28270.8333333333</v>
      </c>
      <c r="O46" s="18" t="n">
        <f aca="false">M46*Assumptions!$B$33</f>
        <v>6422.72155</v>
      </c>
      <c r="P46" s="18" t="n">
        <f aca="false">O46-N46</f>
        <v>-21848.1117833333</v>
      </c>
      <c r="Q46" s="1" t="n">
        <f aca="false">IF(A46&gt;=Assumptions!$B$45,A46-Assumptions!$B$45+1,"")</f>
        <v>33</v>
      </c>
      <c r="R46" s="1" t="str">
        <f aca="false">IF(Q46="","Not yet launched",IF(Q46&lt;=6,"CP1: Launch",IF(Q46&lt;=18,"CP2: Scale",IF(Q46&lt;=36,"CP3: Mature","CP4: Steady"))))</f>
        <v>CP3: Mature</v>
      </c>
      <c r="S46" s="41" t="n">
        <f aca="false">IF(Q46="",0,Assumptions!$B$46)</f>
        <v>2000</v>
      </c>
      <c r="T46" s="42" t="n">
        <f aca="false">IF(Q46="",0,IF(Q46&lt;=6,Assumptions!$B$14,IF(Q46&lt;=18,Assumptions!$B$15,IF(Q46&lt;=36,Assumptions!$B$16,Assumptions!$B$17))))</f>
        <v>0.08</v>
      </c>
      <c r="U46" s="41" t="n">
        <f aca="false">IF(Q46="",0,IF(Q46=1,Assumptions!$B$65,ROUND(MAX(W45,1)*T46,0)))</f>
        <v>7</v>
      </c>
      <c r="V46" s="41" t="n">
        <f aca="false">IF(Q46="",0,ROUND(W45*Assumptions!$B$49,0))</f>
        <v>2</v>
      </c>
      <c r="W46" s="41" t="n">
        <f aca="false">IF(Q46="",0,MIN(W45+U46-V46,S46))</f>
        <v>89</v>
      </c>
      <c r="X46" s="42" t="n">
        <f aca="false">IF(Q46="",0,Assumptions!$B$55)</f>
        <v>0.9</v>
      </c>
      <c r="Y46" s="43" t="n">
        <f aca="false">W46*X46</f>
        <v>80.1</v>
      </c>
      <c r="Z46" s="44" t="n">
        <f aca="false">L46</f>
        <v>46.06</v>
      </c>
      <c r="AA46" s="45" t="n">
        <f aca="false">Y46*Z46</f>
        <v>3689.406</v>
      </c>
      <c r="AB46" s="45" t="n">
        <f aca="false">IF(A46=Assumptions!$B$45,Assumptions!$B$47+Assumptions!$B$48,IF(A46&gt;Assumptions!$B$45,Assumptions!$B$47,0))</f>
        <v>50</v>
      </c>
      <c r="AC46" s="45" t="n">
        <f aca="false">AA46*Assumptions!$B$33</f>
        <v>3135.9951</v>
      </c>
      <c r="AD46" s="41" t="n">
        <f aca="false">I46+W46</f>
        <v>282</v>
      </c>
      <c r="AE46" s="45" t="n">
        <f aca="false">M46+AA46</f>
        <v>11245.549</v>
      </c>
      <c r="AF46" s="45" t="n">
        <f aca="false">N46+AB46+AJ46+AK46+AL46+Assumptions!$B$68</f>
        <v>33114.6191666667</v>
      </c>
      <c r="AG46" s="45" t="n">
        <f aca="false">O46+AC46</f>
        <v>9558.71665</v>
      </c>
      <c r="AH46" s="45" t="n">
        <f aca="false">AG46-AF46</f>
        <v>-23555.9025166667</v>
      </c>
      <c r="AI46" s="42" t="n">
        <f aca="false">IFERROR((AD46-AD45)/AD45,"")</f>
        <v>0.0367647058823529</v>
      </c>
      <c r="AJ46" s="46" t="n">
        <f aca="false">MAX(Assumptions!$B$71,Assumptions!$B$69*0.5^(A46/Assumptions!$B$70))+Assumptions!$B$72*(K46+Y46)</f>
        <v>160.4525</v>
      </c>
      <c r="AK46" s="46" t="n">
        <f aca="false">IF(AND(Assumptions!$B$76=1,A46&gt;=Assumptions!$B$77),Assumptions!$B$78/12,0)</f>
        <v>4583.33333333333</v>
      </c>
      <c r="AL46" s="46" t="n">
        <f aca="false">IF(AND(Assumptions!$B$86=1,Q46&lt;&gt;""),Assumptions!$B$87/12,0)</f>
        <v>0</v>
      </c>
    </row>
    <row r="47" customFormat="false" ht="15" hidden="false" customHeight="true" outlineLevel="0" collapsed="false">
      <c r="A47" s="34" t="n">
        <v>46</v>
      </c>
      <c r="B47" s="8" t="s">
        <v>229</v>
      </c>
      <c r="C47" s="34" t="n">
        <f aca="false">IF(A47&lt;=12,1,IF(A47&lt;=24,2,IF(A47&lt;=36,3,4)))</f>
        <v>4</v>
      </c>
      <c r="D47" s="8" t="str">
        <f aca="false">IF(A47&lt;=6,"P1: Pilot-&gt;Seed",IF(A47&lt;=18,"P2: Scale/Series A",IF(A47&lt;=36,"P3: Post-Series A","P4: Maturity")))</f>
        <v>P4: Maturity</v>
      </c>
      <c r="E47" s="35" t="n">
        <f aca="false">IF(C47=1,Assumptions!$B$5,IF(C47=2,Assumptions!$B$6,IF(C47=3,Assumptions!$B$7,Assumptions!$B$8)))</f>
        <v>15000</v>
      </c>
      <c r="F47" s="36" t="n">
        <f aca="false">IF(A47&lt;=6,Assumptions!$B$14,IF(A47&lt;=18,Assumptions!$B$15,IF(A47&lt;=36,Assumptions!$B$16,Assumptions!$B$17)))</f>
        <v>0.05</v>
      </c>
      <c r="G47" s="37" t="n">
        <f aca="false">ROUND(MAX(I46,1)*F47,0)</f>
        <v>10</v>
      </c>
      <c r="H47" s="37" t="n">
        <f aca="false">ROUND(I46*Assumptions!$B$18,0)</f>
        <v>4</v>
      </c>
      <c r="I47" s="37" t="n">
        <f aca="false">MIN(I46+G47-H47,E47)</f>
        <v>199</v>
      </c>
      <c r="J47" s="36" t="n">
        <f aca="false">Assumptions!$B$24</f>
        <v>1</v>
      </c>
      <c r="K47" s="38" t="n">
        <f aca="false">I47*J47</f>
        <v>199</v>
      </c>
      <c r="L47" s="39" t="n">
        <f aca="false">Assumptions!$B$10*(1-Assumptions!$B$12)+Assumptions!$B$11*Assumptions!$B$12</f>
        <v>46.06</v>
      </c>
      <c r="M47" s="18" t="n">
        <f aca="false">K47*L47</f>
        <v>9165.94</v>
      </c>
      <c r="N47" s="40" t="n">
        <f aca="false">((IF(A47&lt;=Assumptions!$B$91,Assumptions!$B$90,IF(A47&gt;=Assumptions!$B$92,1,Assumptions!$B$90+(1-Assumptions!$B$90)*(A47-Assumptions!$B$91)/(Assumptions!$B$92-Assumptions!$B$91))))*Assumptions!$B$81*Assumptions!$B$75+Assumptions!$B$82)*(1+Assumptions!$B$83)/12</f>
        <v>28270.8333333333</v>
      </c>
      <c r="O47" s="18" t="n">
        <f aca="false">M47*Assumptions!$B$33</f>
        <v>7791.049</v>
      </c>
      <c r="P47" s="18" t="n">
        <f aca="false">O47-N47</f>
        <v>-20479.7843333333</v>
      </c>
      <c r="Q47" s="1" t="n">
        <f aca="false">IF(A47&gt;=Assumptions!$B$45,A47-Assumptions!$B$45+1,"")</f>
        <v>34</v>
      </c>
      <c r="R47" s="1" t="str">
        <f aca="false">IF(Q47="","Not yet launched",IF(Q47&lt;=6,"CP1: Launch",IF(Q47&lt;=18,"CP2: Scale",IF(Q47&lt;=36,"CP3: Mature","CP4: Steady"))))</f>
        <v>CP3: Mature</v>
      </c>
      <c r="S47" s="41" t="n">
        <f aca="false">IF(Q47="",0,Assumptions!$B$46)</f>
        <v>2000</v>
      </c>
      <c r="T47" s="42" t="n">
        <f aca="false">IF(Q47="",0,IF(Q47&lt;=6,Assumptions!$B$14,IF(Q47&lt;=18,Assumptions!$B$15,IF(Q47&lt;=36,Assumptions!$B$16,Assumptions!$B$17))))</f>
        <v>0.08</v>
      </c>
      <c r="U47" s="41" t="n">
        <f aca="false">IF(Q47="",0,IF(Q47=1,Assumptions!$B$65,ROUND(MAX(W46,1)*T47,0)))</f>
        <v>7</v>
      </c>
      <c r="V47" s="41" t="n">
        <f aca="false">IF(Q47="",0,ROUND(W46*Assumptions!$B$49,0))</f>
        <v>2</v>
      </c>
      <c r="W47" s="41" t="n">
        <f aca="false">IF(Q47="",0,MIN(W46+U47-V47,S47))</f>
        <v>94</v>
      </c>
      <c r="X47" s="42" t="n">
        <f aca="false">IF(Q47="",0,Assumptions!$B$56)</f>
        <v>0.6</v>
      </c>
      <c r="Y47" s="43" t="n">
        <f aca="false">W47*X47</f>
        <v>56.4</v>
      </c>
      <c r="Z47" s="44" t="n">
        <f aca="false">L47</f>
        <v>46.06</v>
      </c>
      <c r="AA47" s="45" t="n">
        <f aca="false">Y47*Z47</f>
        <v>2597.784</v>
      </c>
      <c r="AB47" s="45" t="n">
        <f aca="false">IF(A47=Assumptions!$B$45,Assumptions!$B$47+Assumptions!$B$48,IF(A47&gt;Assumptions!$B$45,Assumptions!$B$47,0))</f>
        <v>50</v>
      </c>
      <c r="AC47" s="45" t="n">
        <f aca="false">AA47*Assumptions!$B$33</f>
        <v>2208.1164</v>
      </c>
      <c r="AD47" s="41" t="n">
        <f aca="false">I47+W47</f>
        <v>293</v>
      </c>
      <c r="AE47" s="45" t="n">
        <f aca="false">M47+AA47</f>
        <v>11763.724</v>
      </c>
      <c r="AF47" s="45" t="n">
        <f aca="false">N47+AB47+AJ47+AK47+AL47+Assumptions!$B$68</f>
        <v>33118.5566666667</v>
      </c>
      <c r="AG47" s="45" t="n">
        <f aca="false">O47+AC47</f>
        <v>9999.1654</v>
      </c>
      <c r="AH47" s="45" t="n">
        <f aca="false">AG47-AF47</f>
        <v>-23119.3912666667</v>
      </c>
      <c r="AI47" s="42" t="n">
        <f aca="false">IFERROR((AD47-AD46)/AD46,"")</f>
        <v>0.0390070921985816</v>
      </c>
      <c r="AJ47" s="46" t="n">
        <f aca="false">MAX(Assumptions!$B$71,Assumptions!$B$69*0.5^(A47/Assumptions!$B$70))+Assumptions!$B$72*(K47+Y47)</f>
        <v>164.39</v>
      </c>
      <c r="AK47" s="46" t="n">
        <f aca="false">IF(AND(Assumptions!$B$76=1,A47&gt;=Assumptions!$B$77),Assumptions!$B$78/12,0)</f>
        <v>4583.33333333333</v>
      </c>
      <c r="AL47" s="46" t="n">
        <f aca="false">IF(AND(Assumptions!$B$86=1,Q47&lt;&gt;""),Assumptions!$B$87/12,0)</f>
        <v>0</v>
      </c>
    </row>
    <row r="48" customFormat="false" ht="15" hidden="false" customHeight="true" outlineLevel="0" collapsed="false">
      <c r="A48" s="34" t="n">
        <v>47</v>
      </c>
      <c r="B48" s="8" t="s">
        <v>230</v>
      </c>
      <c r="C48" s="34" t="n">
        <f aca="false">IF(A48&lt;=12,1,IF(A48&lt;=24,2,IF(A48&lt;=36,3,4)))</f>
        <v>4</v>
      </c>
      <c r="D48" s="8" t="str">
        <f aca="false">IF(A48&lt;=6,"P1: Pilot-&gt;Seed",IF(A48&lt;=18,"P2: Scale/Series A",IF(A48&lt;=36,"P3: Post-Series A","P4: Maturity")))</f>
        <v>P4: Maturity</v>
      </c>
      <c r="E48" s="35" t="n">
        <f aca="false">IF(C48=1,Assumptions!$B$5,IF(C48=2,Assumptions!$B$6,IF(C48=3,Assumptions!$B$7,Assumptions!$B$8)))</f>
        <v>15000</v>
      </c>
      <c r="F48" s="36" t="n">
        <f aca="false">IF(A48&lt;=6,Assumptions!$B$14,IF(A48&lt;=18,Assumptions!$B$15,IF(A48&lt;=36,Assumptions!$B$16,Assumptions!$B$17)))</f>
        <v>0.05</v>
      </c>
      <c r="G48" s="37" t="n">
        <f aca="false">ROUND(MAX(I47,1)*F48,0)</f>
        <v>10</v>
      </c>
      <c r="H48" s="37" t="n">
        <f aca="false">ROUND(I47*Assumptions!$B$18,0)</f>
        <v>4</v>
      </c>
      <c r="I48" s="37" t="n">
        <f aca="false">MIN(I47+G48-H48,E48)</f>
        <v>205</v>
      </c>
      <c r="J48" s="36" t="n">
        <f aca="false">Assumptions!$B$25</f>
        <v>1</v>
      </c>
      <c r="K48" s="38" t="n">
        <f aca="false">I48*J48</f>
        <v>205</v>
      </c>
      <c r="L48" s="39" t="n">
        <f aca="false">Assumptions!$B$10*(1-Assumptions!$B$12)+Assumptions!$B$11*Assumptions!$B$12</f>
        <v>46.06</v>
      </c>
      <c r="M48" s="18" t="n">
        <f aca="false">K48*L48</f>
        <v>9442.3</v>
      </c>
      <c r="N48" s="40" t="n">
        <f aca="false">((IF(A48&lt;=Assumptions!$B$91,Assumptions!$B$90,IF(A48&gt;=Assumptions!$B$92,1,Assumptions!$B$90+(1-Assumptions!$B$90)*(A48-Assumptions!$B$91)/(Assumptions!$B$92-Assumptions!$B$91))))*Assumptions!$B$81*Assumptions!$B$75+Assumptions!$B$82)*(1+Assumptions!$B$83)/12</f>
        <v>28270.8333333333</v>
      </c>
      <c r="O48" s="18" t="n">
        <f aca="false">M48*Assumptions!$B$33</f>
        <v>8025.955</v>
      </c>
      <c r="P48" s="18" t="n">
        <f aca="false">O48-N48</f>
        <v>-20244.8783333333</v>
      </c>
      <c r="Q48" s="1" t="n">
        <f aca="false">IF(A48&gt;=Assumptions!$B$45,A48-Assumptions!$B$45+1,"")</f>
        <v>35</v>
      </c>
      <c r="R48" s="1" t="str">
        <f aca="false">IF(Q48="","Not yet launched",IF(Q48&lt;=6,"CP1: Launch",IF(Q48&lt;=18,"CP2: Scale",IF(Q48&lt;=36,"CP3: Mature","CP4: Steady"))))</f>
        <v>CP3: Mature</v>
      </c>
      <c r="S48" s="41" t="n">
        <f aca="false">IF(Q48="",0,Assumptions!$B$46)</f>
        <v>2000</v>
      </c>
      <c r="T48" s="42" t="n">
        <f aca="false">IF(Q48="",0,IF(Q48&lt;=6,Assumptions!$B$14,IF(Q48&lt;=18,Assumptions!$B$15,IF(Q48&lt;=36,Assumptions!$B$16,Assumptions!$B$17))))</f>
        <v>0.08</v>
      </c>
      <c r="U48" s="41" t="n">
        <f aca="false">IF(Q48="",0,IF(Q48=1,Assumptions!$B$65,ROUND(MAX(W47,1)*T48,0)))</f>
        <v>8</v>
      </c>
      <c r="V48" s="41" t="n">
        <f aca="false">IF(Q48="",0,ROUND(W47*Assumptions!$B$49,0))</f>
        <v>2</v>
      </c>
      <c r="W48" s="41" t="n">
        <f aca="false">IF(Q48="",0,MIN(W47+U48-V48,S48))</f>
        <v>100</v>
      </c>
      <c r="X48" s="42" t="n">
        <f aca="false">IF(Q48="",0,Assumptions!$B$57)</f>
        <v>0.4</v>
      </c>
      <c r="Y48" s="43" t="n">
        <f aca="false">W48*X48</f>
        <v>40</v>
      </c>
      <c r="Z48" s="44" t="n">
        <f aca="false">L48</f>
        <v>46.06</v>
      </c>
      <c r="AA48" s="45" t="n">
        <f aca="false">Y48*Z48</f>
        <v>1842.4</v>
      </c>
      <c r="AB48" s="45" t="n">
        <f aca="false">IF(A48=Assumptions!$B$45,Assumptions!$B$47+Assumptions!$B$48,IF(A48&gt;Assumptions!$B$45,Assumptions!$B$47,0))</f>
        <v>50</v>
      </c>
      <c r="AC48" s="45" t="n">
        <f aca="false">AA48*Assumptions!$B$33</f>
        <v>1566.04</v>
      </c>
      <c r="AD48" s="41" t="n">
        <f aca="false">I48+W48</f>
        <v>305</v>
      </c>
      <c r="AE48" s="45" t="n">
        <f aca="false">M48+AA48</f>
        <v>11284.7</v>
      </c>
      <c r="AF48" s="45" t="n">
        <f aca="false">N48+AB48+AJ48+AK48+AL48+Assumptions!$B$68</f>
        <v>33114.9166666667</v>
      </c>
      <c r="AG48" s="45" t="n">
        <f aca="false">O48+AC48</f>
        <v>9591.995</v>
      </c>
      <c r="AH48" s="45" t="n">
        <f aca="false">AG48-AF48</f>
        <v>-23522.9216666667</v>
      </c>
      <c r="AI48" s="42" t="n">
        <f aca="false">IFERROR((AD48-AD47)/AD47,"")</f>
        <v>0.0409556313993174</v>
      </c>
      <c r="AJ48" s="46" t="n">
        <f aca="false">MAX(Assumptions!$B$71,Assumptions!$B$69*0.5^(A48/Assumptions!$B$70))+Assumptions!$B$72*(K48+Y48)</f>
        <v>160.75</v>
      </c>
      <c r="AK48" s="46" t="n">
        <f aca="false">IF(AND(Assumptions!$B$76=1,A48&gt;=Assumptions!$B$77),Assumptions!$B$78/12,0)</f>
        <v>4583.33333333333</v>
      </c>
      <c r="AL48" s="46" t="n">
        <f aca="false">IF(AND(Assumptions!$B$86=1,Q48&lt;&gt;""),Assumptions!$B$87/12,0)</f>
        <v>0</v>
      </c>
    </row>
    <row r="49" customFormat="false" ht="15" hidden="false" customHeight="true" outlineLevel="0" collapsed="false">
      <c r="A49" s="34" t="n">
        <v>48</v>
      </c>
      <c r="B49" s="8" t="s">
        <v>231</v>
      </c>
      <c r="C49" s="34" t="n">
        <f aca="false">IF(A49&lt;=12,1,IF(A49&lt;=24,2,IF(A49&lt;=36,3,4)))</f>
        <v>4</v>
      </c>
      <c r="D49" s="8" t="str">
        <f aca="false">IF(A49&lt;=6,"P1: Pilot-&gt;Seed",IF(A49&lt;=18,"P2: Scale/Series A",IF(A49&lt;=36,"P3: Post-Series A","P4: Maturity")))</f>
        <v>P4: Maturity</v>
      </c>
      <c r="E49" s="35" t="n">
        <f aca="false">IF(C49=1,Assumptions!$B$5,IF(C49=2,Assumptions!$B$6,IF(C49=3,Assumptions!$B$7,Assumptions!$B$8)))</f>
        <v>15000</v>
      </c>
      <c r="F49" s="36" t="n">
        <f aca="false">IF(A49&lt;=6,Assumptions!$B$14,IF(A49&lt;=18,Assumptions!$B$15,IF(A49&lt;=36,Assumptions!$B$16,Assumptions!$B$17)))</f>
        <v>0.05</v>
      </c>
      <c r="G49" s="37" t="n">
        <f aca="false">ROUND(MAX(I48,1)*F49,0)</f>
        <v>10</v>
      </c>
      <c r="H49" s="37" t="n">
        <f aca="false">ROUND(I48*Assumptions!$B$18,0)</f>
        <v>4</v>
      </c>
      <c r="I49" s="37" t="n">
        <f aca="false">MIN(I48+G49-H49,E49)</f>
        <v>211</v>
      </c>
      <c r="J49" s="36" t="n">
        <f aca="false">Assumptions!$B$26</f>
        <v>1</v>
      </c>
      <c r="K49" s="38" t="n">
        <f aca="false">I49*J49</f>
        <v>211</v>
      </c>
      <c r="L49" s="39" t="n">
        <f aca="false">Assumptions!$B$10*(1-Assumptions!$B$12)+Assumptions!$B$11*Assumptions!$B$12</f>
        <v>46.06</v>
      </c>
      <c r="M49" s="18" t="n">
        <f aca="false">K49*L49</f>
        <v>9718.66</v>
      </c>
      <c r="N49" s="40" t="n">
        <f aca="false">((IF(A49&lt;=Assumptions!$B$91,Assumptions!$B$90,IF(A49&gt;=Assumptions!$B$92,1,Assumptions!$B$90+(1-Assumptions!$B$90)*(A49-Assumptions!$B$91)/(Assumptions!$B$92-Assumptions!$B$91))))*Assumptions!$B$81*Assumptions!$B$75+Assumptions!$B$82)*(1+Assumptions!$B$83)/12</f>
        <v>28270.8333333333</v>
      </c>
      <c r="O49" s="18" t="n">
        <f aca="false">M49*Assumptions!$B$33</f>
        <v>8260.861</v>
      </c>
      <c r="P49" s="18" t="n">
        <f aca="false">O49-N49</f>
        <v>-20009.9723333333</v>
      </c>
      <c r="Q49" s="1" t="n">
        <f aca="false">IF(A49&gt;=Assumptions!$B$45,A49-Assumptions!$B$45+1,"")</f>
        <v>36</v>
      </c>
      <c r="R49" s="1" t="str">
        <f aca="false">IF(Q49="","Not yet launched",IF(Q49&lt;=6,"CP1: Launch",IF(Q49&lt;=18,"CP2: Scale",IF(Q49&lt;=36,"CP3: Mature","CP4: Steady"))))</f>
        <v>CP3: Mature</v>
      </c>
      <c r="S49" s="41" t="n">
        <f aca="false">IF(Q49="",0,Assumptions!$B$46)</f>
        <v>2000</v>
      </c>
      <c r="T49" s="42" t="n">
        <f aca="false">IF(Q49="",0,IF(Q49&lt;=6,Assumptions!$B$14,IF(Q49&lt;=18,Assumptions!$B$15,IF(Q49&lt;=36,Assumptions!$B$16,Assumptions!$B$17))))</f>
        <v>0.08</v>
      </c>
      <c r="U49" s="41" t="n">
        <f aca="false">IF(Q49="",0,IF(Q49=1,Assumptions!$B$65,ROUND(MAX(W48,1)*T49,0)))</f>
        <v>8</v>
      </c>
      <c r="V49" s="41" t="n">
        <f aca="false">IF(Q49="",0,ROUND(W48*Assumptions!$B$49,0))</f>
        <v>2</v>
      </c>
      <c r="W49" s="41" t="n">
        <f aca="false">IF(Q49="",0,MIN(W48+U49-V49,S49))</f>
        <v>106</v>
      </c>
      <c r="X49" s="42" t="n">
        <f aca="false">IF(Q49="",0,Assumptions!$B$58)</f>
        <v>0.35</v>
      </c>
      <c r="Y49" s="43" t="n">
        <f aca="false">W49*X49</f>
        <v>37.1</v>
      </c>
      <c r="Z49" s="44" t="n">
        <f aca="false">L49</f>
        <v>46.06</v>
      </c>
      <c r="AA49" s="45" t="n">
        <f aca="false">Y49*Z49</f>
        <v>1708.826</v>
      </c>
      <c r="AB49" s="45" t="n">
        <f aca="false">IF(A49=Assumptions!$B$45,Assumptions!$B$47+Assumptions!$B$48,IF(A49&gt;Assumptions!$B$45,Assumptions!$B$47,0))</f>
        <v>50</v>
      </c>
      <c r="AC49" s="45" t="n">
        <f aca="false">AA49*Assumptions!$B$33</f>
        <v>1452.5021</v>
      </c>
      <c r="AD49" s="41" t="n">
        <f aca="false">I49+W49</f>
        <v>317</v>
      </c>
      <c r="AE49" s="45" t="n">
        <f aca="false">M49+AA49</f>
        <v>11427.486</v>
      </c>
      <c r="AF49" s="45" t="n">
        <f aca="false">N49+AB49+AJ49+AK49+AL49+Assumptions!$B$68</f>
        <v>33116.0016666667</v>
      </c>
      <c r="AG49" s="45" t="n">
        <f aca="false">O49+AC49</f>
        <v>9713.3631</v>
      </c>
      <c r="AH49" s="45" t="n">
        <f aca="false">AG49-AF49</f>
        <v>-23402.6385666667</v>
      </c>
      <c r="AI49" s="42" t="n">
        <f aca="false">IFERROR((AD49-AD48)/AD48,"")</f>
        <v>0.039344262295082</v>
      </c>
      <c r="AJ49" s="46" t="n">
        <f aca="false">MAX(Assumptions!$B$71,Assumptions!$B$69*0.5^(A49/Assumptions!$B$70))+Assumptions!$B$72*(K49+Y49)</f>
        <v>161.835</v>
      </c>
      <c r="AK49" s="46" t="n">
        <f aca="false">IF(AND(Assumptions!$B$76=1,A49&gt;=Assumptions!$B$77),Assumptions!$B$78/12,0)</f>
        <v>4583.33333333333</v>
      </c>
      <c r="AL49" s="46" t="n">
        <f aca="false">IF(AND(Assumptions!$B$86=1,Q49&lt;&gt;""),Assumptions!$B$87/12,0)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5" min="2" style="1" width="18"/>
  </cols>
  <sheetData>
    <row r="1" customFormat="false" ht="19.5" hidden="false" customHeight="true" outlineLevel="0" collapsed="false">
      <c r="A1" s="5" t="s">
        <v>232</v>
      </c>
    </row>
    <row r="3" customFormat="false" ht="15" hidden="false" customHeight="true" outlineLevel="0" collapsed="false">
      <c r="A3" s="6" t="s">
        <v>233</v>
      </c>
      <c r="B3" s="47" t="s">
        <v>234</v>
      </c>
      <c r="C3" s="47" t="s">
        <v>235</v>
      </c>
      <c r="D3" s="47" t="s">
        <v>236</v>
      </c>
      <c r="E3" s="47" t="s">
        <v>237</v>
      </c>
    </row>
    <row r="4" customFormat="false" ht="15" hidden="false" customHeight="true" outlineLevel="0" collapsed="false">
      <c r="A4" s="8" t="s">
        <v>238</v>
      </c>
      <c r="B4" s="37" t="n">
        <f aca="false">'Monthly Model'!AD13</f>
        <v>27</v>
      </c>
      <c r="C4" s="37" t="n">
        <f aca="false">'Monthly Model'!AD25</f>
        <v>93</v>
      </c>
      <c r="D4" s="37" t="n">
        <f aca="false">'Monthly Model'!AD37</f>
        <v>201</v>
      </c>
      <c r="E4" s="37" t="n">
        <f aca="false">'Monthly Model'!AD49</f>
        <v>317</v>
      </c>
    </row>
    <row r="5" customFormat="false" ht="15" hidden="false" customHeight="true" outlineLevel="0" collapsed="false">
      <c r="A5" s="8" t="s">
        <v>239</v>
      </c>
      <c r="B5" s="38" t="n">
        <f aca="false">AVERAGE('Monthly Model'!AD2:AD13)</f>
        <v>13.3333333333333</v>
      </c>
      <c r="C5" s="38" t="n">
        <f aca="false">AVERAGE('Monthly Model'!AD14:AD25)</f>
        <v>61.0833333333333</v>
      </c>
      <c r="D5" s="38" t="n">
        <f aca="false">AVERAGE('Monthly Model'!AD26:AD37)</f>
        <v>147.5</v>
      </c>
      <c r="E5" s="38" t="n">
        <f aca="false">AVERAGE('Monthly Model'!AD38:AD49)</f>
        <v>259.333333333333</v>
      </c>
    </row>
    <row r="6" customFormat="false" ht="15" hidden="false" customHeight="true" outlineLevel="0" collapsed="false">
      <c r="A6" s="8" t="s">
        <v>240</v>
      </c>
      <c r="B6" s="18" t="n">
        <f aca="false">'Monthly Model'!AE13</f>
        <v>1243.62</v>
      </c>
      <c r="C6" s="18" t="n">
        <f aca="false">'Monthly Model'!AE25</f>
        <v>3714.739</v>
      </c>
      <c r="D6" s="18" t="n">
        <f aca="false">'Monthly Model'!AE37</f>
        <v>7671.293</v>
      </c>
      <c r="E6" s="18" t="n">
        <f aca="false">'Monthly Model'!AE49</f>
        <v>11427.486</v>
      </c>
    </row>
    <row r="7" customFormat="false" ht="15" hidden="false" customHeight="true" outlineLevel="0" collapsed="false">
      <c r="A7" s="8" t="s">
        <v>241</v>
      </c>
      <c r="B7" s="18" t="n">
        <f aca="false">('Monthly Model'!AE13)*12</f>
        <v>14923.44</v>
      </c>
      <c r="C7" s="18" t="n">
        <f aca="false">('Monthly Model'!AE25)*12</f>
        <v>44576.868</v>
      </c>
      <c r="D7" s="18" t="n">
        <f aca="false">('Monthly Model'!AE37)*12</f>
        <v>92055.516</v>
      </c>
      <c r="E7" s="18" t="n">
        <f aca="false">('Monthly Model'!AE49)*12</f>
        <v>137129.832</v>
      </c>
    </row>
    <row r="8" customFormat="false" ht="15" hidden="false" customHeight="true" outlineLevel="0" collapsed="false">
      <c r="A8" s="8" t="s">
        <v>242</v>
      </c>
      <c r="B8" s="18" t="n">
        <f aca="false">SUM('Monthly Model'!AE2:AE13)</f>
        <v>5653.865</v>
      </c>
      <c r="C8" s="18" t="n">
        <f aca="false">SUM('Monthly Model'!AE14:AE25)</f>
        <v>24573.01</v>
      </c>
      <c r="D8" s="18" t="n">
        <f aca="false">SUM('Monthly Model'!AE26:AE37)</f>
        <v>58922.255</v>
      </c>
      <c r="E8" s="18" t="n">
        <f aca="false">SUM('Monthly Model'!AE38:AE49)</f>
        <v>101822.539</v>
      </c>
    </row>
    <row r="9" customFormat="false" ht="15" hidden="false" customHeight="true" outlineLevel="0" collapsed="false">
      <c r="A9" s="8" t="s">
        <v>243</v>
      </c>
      <c r="B9" s="18" t="n">
        <f aca="false">SUM('Monthly Model'!AF2:AF13)</f>
        <v>73876.0997418192</v>
      </c>
      <c r="C9" s="18" t="n">
        <f aca="false">SUM('Monthly Model'!AF14:AF25)</f>
        <v>392932.558333333</v>
      </c>
      <c r="D9" s="18" t="n">
        <f aca="false">SUM('Monthly Model'!AF26:AF37)</f>
        <v>396797.7375</v>
      </c>
      <c r="E9" s="18" t="n">
        <f aca="false">SUM('Monthly Model'!AF38:AF49)</f>
        <v>397123.7275</v>
      </c>
    </row>
    <row r="10" customFormat="false" ht="15" hidden="false" customHeight="true" outlineLevel="0" collapsed="false">
      <c r="A10" s="8" t="s">
        <v>244</v>
      </c>
      <c r="B10" s="18" t="n">
        <f aca="false">SUM('Monthly Model'!AG2:AG13)</f>
        <v>4805.78525</v>
      </c>
      <c r="C10" s="18" t="n">
        <f aca="false">SUM('Monthly Model'!AG14:AG25)</f>
        <v>20887.0585</v>
      </c>
      <c r="D10" s="18" t="n">
        <f aca="false">SUM('Monthly Model'!AG26:AG37)</f>
        <v>50083.91675</v>
      </c>
      <c r="E10" s="18" t="n">
        <f aca="false">SUM('Monthly Model'!AG38:AG49)</f>
        <v>86549.15815</v>
      </c>
    </row>
    <row r="11" customFormat="false" ht="15" hidden="false" customHeight="true" outlineLevel="0" collapsed="false">
      <c r="A11" s="8" t="s">
        <v>245</v>
      </c>
      <c r="B11" s="18" t="n">
        <f aca="false">SUM('Monthly Model'!AH2:AH13)</f>
        <v>-69070.3144918192</v>
      </c>
      <c r="C11" s="18" t="n">
        <f aca="false">SUM('Monthly Model'!AH14:AH25)</f>
        <v>-372045.499833333</v>
      </c>
      <c r="D11" s="18" t="n">
        <f aca="false">SUM('Monthly Model'!AH26:AH37)</f>
        <v>-346713.82075</v>
      </c>
      <c r="E11" s="18" t="n">
        <f aca="false">SUM('Monthly Model'!AH38:AH49)</f>
        <v>-310574.56935</v>
      </c>
    </row>
    <row r="12" customFormat="false" ht="15" hidden="false" customHeight="true" outlineLevel="0" collapsed="false">
      <c r="A12" s="8" t="s">
        <v>246</v>
      </c>
      <c r="B12" s="48" t="n">
        <f aca="false">SUM('Monthly Model'!AF2:AF13)/SUM('Monthly Model'!AE2:AE13)</f>
        <v>13.0664774878458</v>
      </c>
      <c r="C12" s="48" t="n">
        <f aca="false">SUM('Monthly Model'!AF14:AF25)/SUM('Monthly Model'!AE14:AE25)</f>
        <v>15.9904121771543</v>
      </c>
      <c r="D12" s="48" t="n">
        <f aca="false">SUM('Monthly Model'!AF26:AF37)/SUM('Monthly Model'!AE26:AE37)</f>
        <v>6.73425919459464</v>
      </c>
      <c r="E12" s="48" t="n">
        <f aca="false">SUM('Monthly Model'!AF38:AF49)/SUM('Monthly Model'!AE38:AE49)</f>
        <v>3.90015542138465</v>
      </c>
    </row>
    <row r="13" customFormat="false" ht="36" hidden="false" customHeight="true" outlineLevel="0" collapsed="false">
      <c r="A13" s="1" t="s">
        <v>247</v>
      </c>
      <c r="B13" s="41" t="n">
        <f aca="false">'Monthly Model'!W13</f>
        <v>0</v>
      </c>
      <c r="C13" s="41" t="n">
        <f aca="false">'Monthly Model'!W25</f>
        <v>19</v>
      </c>
      <c r="D13" s="41" t="n">
        <f aca="false">'Monthly Model'!W37</f>
        <v>53</v>
      </c>
      <c r="E13" s="41" t="n">
        <f aca="false">'Monthly Model'!W49</f>
        <v>106</v>
      </c>
    </row>
    <row r="14" customFormat="false" ht="36" hidden="false" customHeight="true" outlineLevel="0" collapsed="false">
      <c r="A14" s="1" t="s">
        <v>248</v>
      </c>
      <c r="B14" s="45" t="n">
        <f aca="false">'Monthly Model'!AA13</f>
        <v>0</v>
      </c>
      <c r="C14" s="45" t="n">
        <f aca="false">'Monthly Model'!AA25</f>
        <v>306.299</v>
      </c>
      <c r="D14" s="45" t="n">
        <f aca="false">'Monthly Model'!AA37</f>
        <v>854.413</v>
      </c>
      <c r="E14" s="45" t="n">
        <f aca="false">'Monthly Model'!AA49</f>
        <v>1708.826</v>
      </c>
    </row>
    <row r="15" customFormat="false" ht="15" hidden="false" customHeight="false" outlineLevel="0" collapsed="false">
      <c r="A15" s="49"/>
    </row>
    <row r="16" customFormat="false" ht="126" hidden="false" customHeight="true" outlineLevel="0" collapsed="false">
      <c r="A16" s="50" t="s">
        <v>249</v>
      </c>
    </row>
    <row r="17" customFormat="false" ht="111" hidden="false" customHeight="true" outlineLevel="0" collapsed="false">
      <c r="A17" s="50" t="s">
        <v>250</v>
      </c>
    </row>
    <row r="18" customFormat="false" ht="15" hidden="false" customHeight="false" outlineLevel="0" collapsed="false">
      <c r="A18" s="1" t="s">
        <v>251</v>
      </c>
      <c r="B18" s="46" t="n">
        <f aca="false">SUM('Monthly Model'!AJ2:AJ13)</f>
        <v>1880.2664084859</v>
      </c>
      <c r="C18" s="46" t="n">
        <f aca="false">SUM('Monthly Model'!AJ14:AJ25)</f>
        <v>1086.725</v>
      </c>
      <c r="D18" s="46" t="n">
        <f aca="false">SUM('Monthly Model'!AJ26:AJ37)</f>
        <v>1347.7375</v>
      </c>
      <c r="E18" s="46" t="n">
        <f aca="false">SUM('Monthly Model'!AJ38:AJ49)</f>
        <v>1673.7275</v>
      </c>
    </row>
    <row r="19" customFormat="false" ht="15" hidden="false" customHeight="false" outlineLevel="0" collapsed="false">
      <c r="A19" s="1" t="s">
        <v>252</v>
      </c>
      <c r="B19" s="46" t="n">
        <f aca="false">SUM('Monthly Model'!AK2:AK13)</f>
        <v>0</v>
      </c>
      <c r="C19" s="46" t="n">
        <f aca="false">SUM('Monthly Model'!AK14:AK25)</f>
        <v>55000</v>
      </c>
      <c r="D19" s="46" t="n">
        <f aca="false">SUM('Monthly Model'!AK26:AK37)</f>
        <v>55000</v>
      </c>
      <c r="E19" s="46" t="n">
        <f aca="false">SUM('Monthly Model'!AK38:AK49)</f>
        <v>55000</v>
      </c>
    </row>
    <row r="20" customFormat="false" ht="15" hidden="false" customHeight="false" outlineLevel="0" collapsed="false">
      <c r="A20" s="1" t="s">
        <v>253</v>
      </c>
      <c r="B20" s="46" t="n">
        <f aca="false">SUM('Monthly Model'!AL2:AL13)</f>
        <v>0</v>
      </c>
      <c r="C20" s="46" t="n">
        <f aca="false">SUM('Monthly Model'!AL14:AL25)</f>
        <v>0</v>
      </c>
      <c r="D20" s="46" t="n">
        <f aca="false">SUM('Monthly Model'!AL26:AL37)</f>
        <v>0</v>
      </c>
      <c r="E20" s="46" t="n">
        <f aca="false">SUM('Monthly Model'!AL38:AL49)</f>
        <v>0</v>
      </c>
    </row>
    <row r="21" customFormat="false" ht="45" hidden="false" customHeight="true" outlineLevel="0" collapsed="false">
      <c r="A21" s="50"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3" min="2" style="1" width="18"/>
    <col collapsed="false" customWidth="true" hidden="false" outlineLevel="0" max="4" min="4" style="1" width="48"/>
  </cols>
  <sheetData>
    <row r="1" customFormat="false" ht="19.5" hidden="false" customHeight="true" outlineLevel="0" collapsed="false">
      <c r="A1" s="5" t="s">
        <v>255</v>
      </c>
    </row>
    <row r="2" customFormat="false" ht="15" hidden="false" customHeight="true" outlineLevel="0" collapsed="false">
      <c r="A2" s="1" t="s">
        <v>256</v>
      </c>
      <c r="B2" s="51" t="n">
        <v>12</v>
      </c>
    </row>
    <row r="4" customFormat="false" ht="15" hidden="false" customHeight="false" outlineLevel="0" collapsed="false">
      <c r="A4" s="6" t="s">
        <v>233</v>
      </c>
      <c r="B4" s="6" t="s">
        <v>257</v>
      </c>
      <c r="C4" s="6" t="s">
        <v>258</v>
      </c>
      <c r="D4" s="52" t="s">
        <v>259</v>
      </c>
    </row>
    <row r="5" customFormat="false" ht="36" hidden="false" customHeight="true" outlineLevel="0" collapsed="false">
      <c r="A5" s="8" t="s">
        <v>260</v>
      </c>
      <c r="B5" s="37" t="n">
        <f aca="false">INDEX('Monthly Model'!AD:AD,$B$2+1)</f>
        <v>27</v>
      </c>
      <c r="C5" s="53" t="n">
        <v>150</v>
      </c>
      <c r="D5" s="54" t="str">
        <f aca="false">IF(B5&gt;=C5,"On track","Behind — reassess growth-rate assumptions")</f>
        <v>Behind — reassess growth-rate assumptions</v>
      </c>
    </row>
    <row r="6" customFormat="false" ht="36" hidden="false" customHeight="true" outlineLevel="0" collapsed="false">
      <c r="A6" s="8" t="s">
        <v>261</v>
      </c>
      <c r="B6" s="18" t="n">
        <f aca="false">INDEX('Monthly Model'!AE:AE,$B$2+1)</f>
        <v>1243.62</v>
      </c>
      <c r="C6" s="53" t="n">
        <v>15000</v>
      </c>
      <c r="D6" s="54" t="str">
        <f aca="false">IF(B6&gt;=C6,"On track","Behind threshold")</f>
        <v>Behind threshold</v>
      </c>
    </row>
    <row r="7" customFormat="false" ht="36" hidden="false" customHeight="true" outlineLevel="0" collapsed="false">
      <c r="A7" s="8" t="s">
        <v>262</v>
      </c>
      <c r="B7" s="18" t="n">
        <f aca="false">B6*12</f>
        <v>14923.44</v>
      </c>
      <c r="C7" s="53" t="n">
        <v>180000</v>
      </c>
      <c r="D7" s="54" t="str">
        <f aca="false">IF(B7&gt;=C7,"On track","Below typical vertical-SaaS Series A entry range")</f>
        <v>Below typical vertical-SaaS Series A entry range</v>
      </c>
    </row>
    <row r="8" customFormat="false" ht="36" hidden="false" customHeight="true" outlineLevel="0" collapsed="false">
      <c r="A8" s="8" t="s">
        <v>263</v>
      </c>
      <c r="B8" s="55" t="n">
        <f aca="false">AVERAGE(INDEX('Monthly Model'!AI:AI,$B$2-1):INDEX('Monthly Model'!AI:AI,$B$2+1))</f>
        <v>0.14484126984127</v>
      </c>
      <c r="C8" s="53" t="n">
        <v>0.1</v>
      </c>
      <c r="D8" s="54" t="str">
        <f aca="false">IF(B8&gt;=C8,"On track","Growth decelerating faster than target")</f>
        <v>On track</v>
      </c>
    </row>
    <row r="9" customFormat="false" ht="36" hidden="false" customHeight="true" outlineLevel="0" collapsed="false">
      <c r="A9" s="8" t="s">
        <v>264</v>
      </c>
      <c r="B9" s="55" t="n">
        <f aca="false">Assumptions!$B$18</f>
        <v>0.02</v>
      </c>
      <c r="C9" s="53" t="n">
        <v>0.03</v>
      </c>
      <c r="D9" s="54" t="str">
        <f aca="false">IF(B9&lt;=C9,"On track (lower is better)","Churn above acceptable threshold")</f>
        <v>On track (lower is better)</v>
      </c>
    </row>
    <row r="10" customFormat="false" ht="15" hidden="false" customHeight="false" outlineLevel="0" collapsed="false">
      <c r="A10" s="8" t="s">
        <v>265</v>
      </c>
      <c r="B10" s="56" t="n">
        <f aca="false">Assumptions!$B$10*(1-Assumptions!$B$12)+Assumptions!$B$11*Assumptions!$B$12</f>
        <v>46.06</v>
      </c>
      <c r="C10" s="8" t="s">
        <v>266</v>
      </c>
      <c r="D10" s="54" t="s">
        <v>267</v>
      </c>
    </row>
    <row r="11" customFormat="false" ht="36" hidden="false" customHeight="true" outlineLevel="0" collapsed="false">
      <c r="A11" s="8" t="s">
        <v>268</v>
      </c>
      <c r="B11" s="57" t="n">
        <f aca="false">1/B9</f>
        <v>50</v>
      </c>
      <c r="C11" s="8" t="s">
        <v>266</v>
      </c>
      <c r="D11" s="54" t="s">
        <v>269</v>
      </c>
    </row>
    <row r="12" customFormat="false" ht="36" hidden="false" customHeight="true" outlineLevel="0" collapsed="false">
      <c r="A12" s="8" t="s">
        <v>270</v>
      </c>
      <c r="B12" s="18" t="n">
        <f aca="false">B10*Assumptions!$B$33*B11</f>
        <v>1957.55</v>
      </c>
      <c r="C12" s="8" t="s">
        <v>266</v>
      </c>
      <c r="D12" s="54"/>
    </row>
    <row r="13" customFormat="false" ht="36" hidden="false" customHeight="true" outlineLevel="0" collapsed="false">
      <c r="A13" s="8" t="s">
        <v>67</v>
      </c>
      <c r="B13" s="18" t="n">
        <f aca="false">Assumptions!$B$34</f>
        <v>150</v>
      </c>
      <c r="C13" s="8" t="s">
        <v>266</v>
      </c>
      <c r="D13" s="54" t="s">
        <v>271</v>
      </c>
    </row>
    <row r="14" customFormat="false" ht="51" hidden="false" customHeight="true" outlineLevel="0" collapsed="false">
      <c r="A14" s="8" t="s">
        <v>272</v>
      </c>
      <c r="B14" s="48" t="n">
        <f aca="false">B12/B13</f>
        <v>13.0503333333333</v>
      </c>
      <c r="C14" s="53" t="n">
        <v>3</v>
      </c>
      <c r="D14" s="54" t="str">
        <f aca="false">IF(B14&gt;=C14,"On track (3x+ is the common benchmark)","Below typical investor benchmark")</f>
        <v>On track (3x+ is the common benchmark)</v>
      </c>
    </row>
    <row r="15" customFormat="false" ht="51" hidden="false" customHeight="true" outlineLevel="0" collapsed="false">
      <c r="A15" s="8" t="s">
        <v>273</v>
      </c>
      <c r="B15" s="58" t="n">
        <f aca="false">B13/(B10*Assumptions!$B$33)</f>
        <v>3.83131976194733</v>
      </c>
      <c r="C15" s="53" t="n">
        <v>12</v>
      </c>
      <c r="D15" s="54" t="str">
        <f aca="false">IF(B15&lt;=C15,"On track (12mo is a common benchmark)","Payback slower than typical benchmark")</f>
        <v>On track (12mo is a common benchmark)</v>
      </c>
    </row>
    <row r="17" customFormat="false" ht="66" hidden="false" customHeight="true" outlineLevel="0" collapsed="false">
      <c r="A17" s="49" t="s">
        <v>274</v>
      </c>
    </row>
    <row r="18" customFormat="false" ht="66" hidden="false" customHeight="true" outlineLevel="0" collapsed="false">
      <c r="A18" s="49" t="s">
        <v>275</v>
      </c>
    </row>
    <row r="19" customFormat="false" ht="66" hidden="false" customHeight="true" outlineLevel="0" collapsed="false">
      <c r="A19" s="49" t="s">
        <v>276</v>
      </c>
    </row>
    <row r="20" customFormat="false" ht="66" hidden="false" customHeight="true" outlineLevel="0" collapsed="false">
      <c r="A20" s="49" t="s">
        <v>277</v>
      </c>
    </row>
    <row r="21" customFormat="false" ht="51" hidden="false" customHeight="true" outlineLevel="0" collapsed="false">
      <c r="A21" s="49" t="s">
        <v>278</v>
      </c>
    </row>
    <row r="22" customFormat="false" ht="81" hidden="false" customHeight="true" outlineLevel="0" collapsed="false">
      <c r="A22" s="50"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2026-07-04T22:53:35Z</dcterms:created>
  <dc:creator>openpyxl</dc:creator>
  <dc:description/>
  <dc:language>en-US</dc:language>
  <cp:lastModifiedBy/>
  <dcterms:modified xsi:type="dcterms:W3CDTF">2026-07-05T21:27:56Z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